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👋" sheetId="1" r:id="rId4"/>
    <sheet state="visible" name="Yillik maqsadlar" sheetId="2" r:id="rId5"/>
    <sheet state="visible" name="Dashboard" sheetId="3" r:id="rId6"/>
    <sheet state="visible" name="Yan" sheetId="4" r:id="rId7"/>
    <sheet state="visible" name="Fev" sheetId="5" r:id="rId8"/>
    <sheet state="visible" name="Mart" sheetId="6" r:id="rId9"/>
    <sheet state="visible" name="Apr" sheetId="7" r:id="rId10"/>
    <sheet state="visible" name="May" sheetId="8" r:id="rId11"/>
    <sheet state="visible" name="Iyun" sheetId="9" r:id="rId12"/>
    <sheet state="visible" name="Iyul" sheetId="10" r:id="rId13"/>
    <sheet state="visible" name="Avg" sheetId="11" r:id="rId14"/>
    <sheet state="visible" name="Sen" sheetId="12" r:id="rId15"/>
    <sheet state="visible" name="Okt" sheetId="13" r:id="rId16"/>
    <sheet state="visible" name="Noy" sheetId="14" r:id="rId17"/>
    <sheet state="visible" name="Dek" sheetId="15" r:id="rId18"/>
    <sheet state="visible" name="©" sheetId="16" r:id="rId19"/>
  </sheets>
  <definedNames/>
  <calcPr/>
</workbook>
</file>

<file path=xl/sharedStrings.xml><?xml version="1.0" encoding="utf-8"?>
<sst xmlns="http://schemas.openxmlformats.org/spreadsheetml/2006/main" count="491" uniqueCount="67">
  <si>
    <r>
      <t>Odatlar planneri-dan foydalanishni boshlash uchun -</t>
    </r>
    <r>
      <rPr>
        <rFont val="Montserrat"/>
        <b/>
        <color theme="1"/>
        <sz val="12.0"/>
      </rPr>
      <t xml:space="preserve"> quyidagi qo'llanma bilan tanishib chiqing</t>
    </r>
    <r>
      <rPr>
        <rFont val="Montserrat"/>
        <color theme="1"/>
        <sz val="12.0"/>
      </rPr>
      <t xml:space="preserve"> 
Agar plannerdan foydalanishda biror savollaringiz mavjud bo'lsa - telegram orqali bog'laning </t>
    </r>
  </si>
  <si>
    <t>Qo'llanma</t>
  </si>
  <si>
    <t>1. Planner joylashgan sahifani oching (siz hozirda shu yerdasiz)</t>
  </si>
  <si>
    <t>2. Tepa chap tomondagi "Fayl" tugmasiga bosing</t>
  </si>
  <si>
    <t>3. Ochilgan oyna menyudan "создать копию" tugmasiga bosing</t>
  </si>
  <si>
    <r>
      <rPr>
        <rFont val="Montserrat"/>
        <color rgb="FF000000"/>
        <sz val="12.0"/>
      </rPr>
      <t xml:space="preserve">4. Sizda yangi oyna ochiladi va u yerda </t>
    </r>
    <r>
      <rPr>
        <rFont val="Montserrat"/>
        <b/>
        <color rgb="FF000000"/>
        <sz val="12.0"/>
      </rPr>
      <t>Odatlar planneri'</t>
    </r>
    <r>
      <rPr>
        <rFont val="Montserrat"/>
        <color rgb="FF000000"/>
        <sz val="12.0"/>
      </rPr>
      <t xml:space="preserve">dan foydalanishni boshlasangiz bo'ladi </t>
    </r>
  </si>
  <si>
    <t xml:space="preserve">Biz bilan - yangi marralarga erishing va hayotingizni rejalashtiring!  </t>
  </si>
  <si>
    <t xml:space="preserve">⟡ </t>
  </si>
  <si>
    <t>Yillik maqsadlar</t>
  </si>
  <si>
    <t xml:space="preserve"> ⟡</t>
  </si>
  <si>
    <t>Maqsadlar soni</t>
  </si>
  <si>
    <t>Bajarilgan maqsadlar soni</t>
  </si>
  <si>
    <t>Ish bo'yicha maqsadlar</t>
  </si>
  <si>
    <t>Moliyaviy maqsadlar</t>
  </si>
  <si>
    <t>Maqsad</t>
  </si>
  <si>
    <t>Kundalik vazifa</t>
  </si>
  <si>
    <t>Haftalik vazifa</t>
  </si>
  <si>
    <t>Oylik vazifa</t>
  </si>
  <si>
    <t>Ijodiy maqsadlar</t>
  </si>
  <si>
    <t>Shaxsiy rivojlanish maqsadlari</t>
  </si>
  <si>
    <t>Munosabatlar bo'yicha maqsadlar</t>
  </si>
  <si>
    <t>Ruhiy maqsadlar</t>
  </si>
  <si>
    <t>Boshqa maqsadlar</t>
  </si>
  <si>
    <t>Dashboard</t>
  </si>
  <si>
    <t>YIL</t>
  </si>
  <si>
    <t>месяца</t>
  </si>
  <si>
    <t>Progres %</t>
  </si>
  <si>
    <t>Yanvar</t>
  </si>
  <si>
    <t>Fevral</t>
  </si>
  <si>
    <t>Mart</t>
  </si>
  <si>
    <t>Aprel</t>
  </si>
  <si>
    <t>May</t>
  </si>
  <si>
    <t>Iyun</t>
  </si>
  <si>
    <t>Iyul</t>
  </si>
  <si>
    <t>Avgust</t>
  </si>
  <si>
    <t>Sentabr</t>
  </si>
  <si>
    <t>Oktabr</t>
  </si>
  <si>
    <t>Noyabr</t>
  </si>
  <si>
    <t>Dekabr</t>
  </si>
  <si>
    <t>Odatlar soni</t>
  </si>
  <si>
    <t>Bajarilgan</t>
  </si>
  <si>
    <t>Bajarilgan odatlar soni</t>
  </si>
  <si>
    <t>Oylik Progres</t>
  </si>
  <si>
    <t>Kundalik vazifalar</t>
  </si>
  <si>
    <t>Hafta 1</t>
  </si>
  <si>
    <t>Hafta 2</t>
  </si>
  <si>
    <t>Hafta 3</t>
  </si>
  <si>
    <t>Hafta 4</t>
  </si>
  <si>
    <t>Analiz</t>
  </si>
  <si>
    <t>Progres</t>
  </si>
  <si>
    <t>Jami</t>
  </si>
  <si>
    <t>To'ldirilgan</t>
  </si>
  <si>
    <t>To'ldirilmagan</t>
  </si>
  <si>
    <t>Kundalik holat</t>
  </si>
  <si>
    <t>O'rtacha qiymat</t>
  </si>
  <si>
    <t>Kayfiyat</t>
  </si>
  <si>
    <t>Energiya</t>
  </si>
  <si>
    <t>Motivatsyia</t>
  </si>
  <si>
    <t>Haftalik</t>
  </si>
  <si>
    <t>January</t>
  </si>
  <si>
    <t>Haftalik fikrlar</t>
  </si>
  <si>
    <t>Oylik</t>
  </si>
  <si>
    <t>Ushbu oy maqsadlari</t>
  </si>
  <si>
    <t>Motivatsiya</t>
  </si>
  <si>
    <t>Ежедневные размышления</t>
  </si>
  <si>
    <t>Май</t>
  </si>
  <si>
    <t xml:space="preserve">Ushbu materiallardan tijoriy maqsadlarda qayta foydalanish, o'zgartirish, nusxalash yoki sotish - qonun bilan taqiqlanadi. © Barcha huquqlar himoyalangan.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</si>
</sst>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%"/>
    <numFmt numFmtId="165" formatCode="m"/>
    <numFmt numFmtId="166" formatCode="ddd"/>
    <numFmt numFmtId="167" formatCode="dddd&quot;, &quot;mmmm&quot; &quot;d"/>
  </numFmts>
  <fonts count="37">
    <font>
      <sz val="10.0"/>
      <color rgb="FF000000"/>
      <name val="Arial"/>
      <scheme val="minor"/>
    </font>
    <font>
      <sz val="12.0"/>
      <color theme="1"/>
      <name val="Montserrat"/>
    </font>
    <font>
      <b/>
      <sz val="12.0"/>
      <color rgb="FF000000"/>
      <name val="Montserrat"/>
    </font>
    <font/>
    <font>
      <sz val="12.0"/>
      <color rgb="FF000000"/>
      <name val="Montserrat"/>
    </font>
    <font>
      <b/>
      <sz val="12.0"/>
      <color rgb="FFFFFFFF"/>
      <name val="Montserrat"/>
    </font>
    <font>
      <color theme="1"/>
      <name val="Montserrat"/>
    </font>
    <font>
      <color rgb="FF000000"/>
      <name val="Montserrat"/>
    </font>
    <font>
      <color rgb="FFF79BA5"/>
      <name val="Montserrat"/>
    </font>
    <font>
      <sz val="28.0"/>
      <color rgb="FFF79BA5"/>
      <name val="Arial"/>
      <scheme val="minor"/>
    </font>
    <font>
      <sz val="36.0"/>
      <color rgb="FFF79BA5"/>
      <name val="Montserrat"/>
    </font>
    <font>
      <color rgb="FFF79BA5"/>
      <name val="Arial"/>
      <scheme val="minor"/>
    </font>
    <font>
      <sz val="10.0"/>
      <color rgb="FF000000"/>
      <name val="Montserrat"/>
    </font>
    <font>
      <color theme="1"/>
      <name val="Arial"/>
      <scheme val="minor"/>
    </font>
    <font>
      <b/>
      <sz val="10.0"/>
      <color theme="1"/>
      <name val="Montserrat"/>
    </font>
    <font>
      <color rgb="FFF8B9C0"/>
      <name val="Montserrat"/>
    </font>
    <font>
      <color rgb="FFFFD8B0"/>
      <name val="Montserrat"/>
    </font>
    <font>
      <color rgb="FFE9CFF3"/>
      <name val="Montserrat"/>
    </font>
    <font>
      <color rgb="FFC9E4B2"/>
      <name val="Montserrat"/>
    </font>
    <font>
      <sz val="28.0"/>
      <color rgb="FFF79BA5"/>
      <name val="Montserrat"/>
    </font>
    <font>
      <sz val="24.0"/>
      <color rgb="FFF79BA5"/>
      <name val="Comfortaa"/>
    </font>
    <font>
      <sz val="36.0"/>
      <color rgb="FFE0B088"/>
      <name val="Montserrat"/>
    </font>
    <font>
      <color rgb="FFFFFFFF"/>
      <name val="Montserrat"/>
    </font>
    <font>
      <sz val="11.0"/>
      <color rgb="FFFFFFFF"/>
      <name val="Montserrat"/>
    </font>
    <font>
      <sz val="14.0"/>
      <color theme="1"/>
      <name val="Comfortaa"/>
    </font>
    <font>
      <color theme="1"/>
      <name val="Arial"/>
    </font>
    <font>
      <sz val="14.0"/>
      <color theme="1"/>
      <name val="Montserrat"/>
    </font>
    <font>
      <sz val="12.0"/>
      <color theme="1"/>
      <name val="Comfortaa"/>
    </font>
    <font>
      <b/>
      <color theme="1"/>
      <name val="Montserrat"/>
    </font>
    <font>
      <b/>
      <sz val="10.0"/>
      <color rgb="FF666666"/>
      <name val="Montserrat"/>
    </font>
    <font>
      <sz val="10.0"/>
      <color rgb="FF666666"/>
      <name val="Montserrat"/>
    </font>
    <font>
      <b/>
      <sz val="10.0"/>
      <color rgb="FF000000"/>
      <name val="Montserrat"/>
    </font>
    <font>
      <sz val="10.0"/>
      <color rgb="FFFFFFFF"/>
      <name val="Montserrat"/>
    </font>
    <font>
      <sz val="10.0"/>
      <color theme="0"/>
      <name val="Montserrat"/>
    </font>
    <font>
      <sz val="10.0"/>
      <color rgb="FFF8B9C0"/>
      <name val="Montserrat"/>
    </font>
    <font>
      <color rgb="FFFFFFFF"/>
      <name val="Arial"/>
    </font>
    <font>
      <sz val="14.0"/>
      <color rgb="FF666666"/>
      <name val="Montserrat"/>
    </font>
  </fonts>
  <fills count="1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5F0ED"/>
        <bgColor rgb="FFF5F0ED"/>
      </patternFill>
    </fill>
    <fill>
      <patternFill patternType="solid">
        <fgColor rgb="FFF0D9D1"/>
        <bgColor rgb="FFF0D9D1"/>
      </patternFill>
    </fill>
    <fill>
      <patternFill patternType="solid">
        <fgColor rgb="FFFCEDEE"/>
        <bgColor rgb="FFFCEDEE"/>
      </patternFill>
    </fill>
    <fill>
      <patternFill patternType="solid">
        <fgColor rgb="FFDDB7AC"/>
        <bgColor rgb="FFDDB7AC"/>
      </patternFill>
    </fill>
    <fill>
      <patternFill patternType="solid">
        <fgColor rgb="FFF4CFBD"/>
        <bgColor rgb="FFF4CFBD"/>
      </patternFill>
    </fill>
    <fill>
      <patternFill patternType="solid">
        <fgColor rgb="FF999B85"/>
        <bgColor rgb="FF999B85"/>
      </patternFill>
    </fill>
    <fill>
      <patternFill patternType="solid">
        <fgColor rgb="FFC9B092"/>
        <bgColor rgb="FFC9B092"/>
      </patternFill>
    </fill>
    <fill>
      <patternFill patternType="solid">
        <fgColor rgb="FFFFF7F5"/>
        <bgColor rgb="FFFFF7F5"/>
      </patternFill>
    </fill>
    <fill>
      <patternFill patternType="solid">
        <fgColor rgb="FFFFF6EF"/>
        <bgColor rgb="FFFFF6EF"/>
      </patternFill>
    </fill>
    <fill>
      <patternFill patternType="solid">
        <fgColor rgb="FFFFEEE9"/>
        <bgColor rgb="FFFFEEE9"/>
      </patternFill>
    </fill>
  </fills>
  <borders count="4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B7B7B7"/>
      </left>
      <top style="thin">
        <color rgb="FFB7B7B7"/>
      </top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FFB7B7B7"/>
      </left>
    </border>
    <border>
      <right style="thin">
        <color rgb="FFB7B7B7"/>
      </right>
    </border>
    <border>
      <left style="thin">
        <color rgb="FFB7B7B7"/>
      </left>
      <bottom style="thin">
        <color rgb="FFB7B7B7"/>
      </bottom>
    </border>
    <border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hair">
        <color rgb="FFB7B7B7"/>
      </bottom>
    </border>
    <border>
      <top style="thin">
        <color rgb="FFB7B7B7"/>
      </top>
      <bottom style="hair">
        <color rgb="FFB7B7B7"/>
      </bottom>
    </border>
    <border>
      <right style="thin">
        <color rgb="FFB7B7B7"/>
      </right>
      <top style="thin">
        <color rgb="FFB7B7B7"/>
      </top>
      <bottom style="hair">
        <color rgb="FFB7B7B7"/>
      </bottom>
    </border>
    <border>
      <left style="thin">
        <color rgb="FFB7B7B7"/>
      </left>
      <top style="hair">
        <color rgb="FFB7B7B7"/>
      </top>
      <bottom style="hair">
        <color rgb="FFB7B7B7"/>
      </bottom>
    </border>
    <border>
      <top style="hair">
        <color rgb="FFB7B7B7"/>
      </top>
      <bottom style="hair">
        <color rgb="FFB7B7B7"/>
      </bottom>
    </border>
    <border>
      <right style="thin">
        <color rgb="FFB7B7B7"/>
      </right>
      <top style="hair">
        <color rgb="FFB7B7B7"/>
      </top>
      <bottom style="hair">
        <color rgb="FFB7B7B7"/>
      </bottom>
    </border>
    <border>
      <left style="thin">
        <color rgb="FFB7B7B7"/>
      </left>
      <top style="hair">
        <color rgb="FFB7B7B7"/>
      </top>
      <bottom style="thin">
        <color rgb="FFB7B7B7"/>
      </bottom>
    </border>
    <border>
      <top style="hair">
        <color rgb="FFB7B7B7"/>
      </top>
      <bottom style="thin">
        <color rgb="FFB7B7B7"/>
      </bottom>
    </border>
    <border>
      <right style="thin">
        <color rgb="FFB7B7B7"/>
      </right>
      <top style="hair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right style="thin">
        <color rgb="FFD9D9D9"/>
      </right>
    </border>
    <border>
      <left style="thin">
        <color rgb="FFB7B7B7"/>
      </left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bottom style="thin">
        <color rgb="FFD9D9D9"/>
      </bottom>
    </border>
    <border>
      <right style="thin">
        <color rgb="FFB7B7B7"/>
      </right>
      <bottom style="thin">
        <color rgb="FFD9D9D9"/>
      </bottom>
    </border>
    <border>
      <right style="thin">
        <color rgb="FFD9D9D9"/>
      </right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</border>
    <border>
      <left style="thin">
        <color rgb="FFB7B7B7"/>
      </left>
      <right style="thin">
        <color rgb="FFB7B7B7"/>
      </right>
      <bottom style="thin">
        <color rgb="FFEFEFEF"/>
      </bottom>
    </border>
    <border>
      <left style="thin">
        <color rgb="FFB7B7B7"/>
      </left>
      <right style="thin">
        <color rgb="FFB7B7B7"/>
      </right>
      <top style="thin">
        <color rgb="FFEFEFEF"/>
      </top>
      <bottom style="thin">
        <color rgb="FFEFEFEF"/>
      </bottom>
    </border>
    <border>
      <left style="thin">
        <color rgb="FFB7B7B7"/>
      </left>
      <right style="thin">
        <color rgb="FFB7B7B7"/>
      </right>
      <top style="thin">
        <color rgb="FFEFEFEF"/>
      </top>
      <bottom style="thin">
        <color rgb="FFB7B7B7"/>
      </bottom>
    </border>
  </borders>
  <cellStyleXfs count="1">
    <xf borderId="0" fillId="0" fontId="0" numFmtId="0" applyAlignment="1" applyFont="1"/>
  </cellStyleXfs>
  <cellXfs count="2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ont="1">
      <alignment horizontal="center" readingOrder="0" shrinkToFit="0" vertical="center" wrapText="1"/>
    </xf>
    <xf borderId="5" fillId="0" fontId="3" numFmtId="0" xfId="0" applyBorder="1" applyFont="1"/>
    <xf borderId="4" fillId="2" fontId="2" numFmtId="0" xfId="0" applyAlignment="1" applyBorder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5" fillId="2" fontId="2" numFmtId="0" xfId="0" applyAlignment="1" applyBorder="1" applyFont="1">
      <alignment horizontal="center" readingOrder="0" shrinkToFit="0" vertical="center" wrapText="1"/>
    </xf>
    <xf borderId="4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0" fillId="0" fontId="5" numFmtId="0" xfId="0" applyAlignment="1" applyFont="1">
      <alignment horizontal="center" readingOrder="0" shrinkToFit="0" vertical="center" wrapText="1"/>
    </xf>
    <xf borderId="0" fillId="3" fontId="5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readingOrder="0" vertical="center"/>
    </xf>
    <xf borderId="0" fillId="3" fontId="6" numFmtId="0" xfId="0" applyAlignment="1" applyFont="1">
      <alignment vertical="center"/>
    </xf>
    <xf borderId="0" fillId="0" fontId="6" numFmtId="0" xfId="0" applyAlignment="1" applyFont="1">
      <alignment vertical="center"/>
    </xf>
    <xf borderId="9" fillId="4" fontId="7" numFmtId="0" xfId="0" applyAlignment="1" applyBorder="1" applyFill="1" applyFont="1">
      <alignment vertical="center"/>
    </xf>
    <xf borderId="10" fillId="0" fontId="3" numFmtId="0" xfId="0" applyBorder="1" applyFont="1"/>
    <xf borderId="10" fillId="4" fontId="7" numFmtId="0" xfId="0" applyAlignment="1" applyBorder="1" applyFont="1">
      <alignment vertical="center"/>
    </xf>
    <xf borderId="10" fillId="4" fontId="7" numFmtId="0" xfId="0" applyAlignment="1" applyBorder="1" applyFont="1">
      <alignment shrinkToFit="0" vertical="center" wrapText="0"/>
    </xf>
    <xf borderId="11" fillId="4" fontId="7" numFmtId="0" xfId="0" applyAlignment="1" applyBorder="1" applyFont="1">
      <alignment vertical="center"/>
    </xf>
    <xf borderId="12" fillId="4" fontId="8" numFmtId="0" xfId="0" applyAlignment="1" applyBorder="1" applyFont="1">
      <alignment vertical="center"/>
    </xf>
    <xf borderId="0" fillId="4" fontId="9" numFmtId="0" xfId="0" applyAlignment="1" applyFont="1">
      <alignment horizontal="center" readingOrder="0" vertical="center"/>
    </xf>
    <xf borderId="0" fillId="4" fontId="10" numFmtId="0" xfId="0" applyAlignment="1" applyFont="1">
      <alignment horizontal="center" readingOrder="0" vertical="center"/>
    </xf>
    <xf borderId="0" fillId="4" fontId="11" numFmtId="0" xfId="0" applyAlignment="1" applyFont="1">
      <alignment vertical="center"/>
    </xf>
    <xf borderId="0" fillId="4" fontId="12" numFmtId="0" xfId="0" applyAlignment="1" applyFont="1">
      <alignment horizontal="center" readingOrder="0" vertical="center"/>
    </xf>
    <xf borderId="0" fillId="4" fontId="13" numFmtId="0" xfId="0" applyAlignment="1" applyFont="1">
      <alignment vertical="center"/>
    </xf>
    <xf borderId="0" fillId="4" fontId="7" numFmtId="0" xfId="0" applyAlignment="1" applyFont="1">
      <alignment vertical="center"/>
    </xf>
    <xf borderId="13" fillId="4" fontId="7" numFmtId="0" xfId="0" applyAlignment="1" applyBorder="1" applyFont="1">
      <alignment vertical="center"/>
    </xf>
    <xf borderId="12" fillId="4" fontId="10" numFmtId="0" xfId="0" applyAlignment="1" applyBorder="1" applyFont="1">
      <alignment horizontal="center" readingOrder="0" vertical="center"/>
    </xf>
    <xf borderId="0" fillId="4" fontId="14" numFmtId="0" xfId="0" applyAlignment="1" applyFont="1">
      <alignment horizontal="center" vertical="center"/>
    </xf>
    <xf borderId="0" fillId="4" fontId="14" numFmtId="0" xfId="0" applyAlignment="1" applyFont="1">
      <alignment horizontal="center" readingOrder="0" vertical="center"/>
    </xf>
    <xf borderId="14" fillId="4" fontId="7" numFmtId="0" xfId="0" applyAlignment="1" applyBorder="1" applyFont="1">
      <alignment vertical="center"/>
    </xf>
    <xf borderId="15" fillId="0" fontId="3" numFmtId="0" xfId="0" applyBorder="1" applyFont="1"/>
    <xf borderId="15" fillId="4" fontId="7" numFmtId="0" xfId="0" applyAlignment="1" applyBorder="1" applyFont="1">
      <alignment vertical="center"/>
    </xf>
    <xf borderId="15" fillId="4" fontId="7" numFmtId="0" xfId="0" applyAlignment="1" applyBorder="1" applyFont="1">
      <alignment shrinkToFit="0" vertical="center" wrapText="0"/>
    </xf>
    <xf borderId="16" fillId="4" fontId="7" numFmtId="0" xfId="0" applyAlignment="1" applyBorder="1" applyFont="1">
      <alignment vertical="center"/>
    </xf>
    <xf borderId="9" fillId="5" fontId="4" numFmtId="0" xfId="0" applyAlignment="1" applyBorder="1" applyFill="1" applyFont="1">
      <alignment horizontal="center" readingOrder="0" vertical="center"/>
    </xf>
    <xf borderId="11" fillId="0" fontId="3" numFmtId="0" xfId="0" applyBorder="1" applyFont="1"/>
    <xf borderId="14" fillId="0" fontId="3" numFmtId="0" xfId="0" applyBorder="1" applyFont="1"/>
    <xf borderId="16" fillId="0" fontId="3" numFmtId="0" xfId="0" applyBorder="1" applyFont="1"/>
    <xf borderId="17" fillId="6" fontId="12" numFmtId="0" xfId="0" applyAlignment="1" applyBorder="1" applyFill="1" applyFont="1">
      <alignment horizontal="center" readingOrder="0" vertical="center"/>
    </xf>
    <xf borderId="18" fillId="0" fontId="3" numFmtId="0" xfId="0" applyBorder="1" applyFont="1"/>
    <xf borderId="19" fillId="0" fontId="3" numFmtId="0" xfId="0" applyBorder="1" applyFont="1"/>
    <xf borderId="20" fillId="0" fontId="15" numFmtId="0" xfId="0" applyAlignment="1" applyBorder="1" applyFont="1">
      <alignment readingOrder="0" vertical="center"/>
    </xf>
    <xf borderId="21" fillId="0" fontId="6" numFmtId="0" xfId="0" applyAlignment="1" applyBorder="1" applyFont="1">
      <alignment readingOrder="0" vertical="center"/>
    </xf>
    <xf borderId="21" fillId="0" fontId="3" numFmtId="0" xfId="0" applyBorder="1" applyFont="1"/>
    <xf borderId="22" fillId="0" fontId="3" numFmtId="0" xfId="0" applyBorder="1" applyFont="1"/>
    <xf borderId="21" fillId="0" fontId="6" numFmtId="0" xfId="0" applyAlignment="1" applyBorder="1" applyFont="1">
      <alignment vertical="center"/>
    </xf>
    <xf borderId="23" fillId="0" fontId="15" numFmtId="0" xfId="0" applyAlignment="1" applyBorder="1" applyFont="1">
      <alignment readingOrder="0" vertical="center"/>
    </xf>
    <xf borderId="24" fillId="0" fontId="6" numFmtId="0" xfId="0" applyAlignment="1" applyBorder="1" applyFont="1">
      <alignment readingOrder="0" vertical="center"/>
    </xf>
    <xf borderId="24" fillId="0" fontId="3" numFmtId="0" xfId="0" applyBorder="1" applyFont="1"/>
    <xf borderId="25" fillId="0" fontId="3" numFmtId="0" xfId="0" applyBorder="1" applyFont="1"/>
    <xf borderId="24" fillId="0" fontId="6" numFmtId="0" xfId="0" applyAlignment="1" applyBorder="1" applyFont="1">
      <alignment vertical="center"/>
    </xf>
    <xf borderId="26" fillId="0" fontId="15" numFmtId="0" xfId="0" applyAlignment="1" applyBorder="1" applyFont="1">
      <alignment readingOrder="0" vertical="center"/>
    </xf>
    <xf borderId="27" fillId="0" fontId="6" numFmtId="0" xfId="0" applyAlignment="1" applyBorder="1" applyFont="1">
      <alignment vertical="center"/>
    </xf>
    <xf borderId="27" fillId="0" fontId="3" numFmtId="0" xfId="0" applyBorder="1" applyFont="1"/>
    <xf borderId="28" fillId="0" fontId="3" numFmtId="0" xfId="0" applyBorder="1" applyFont="1"/>
    <xf borderId="9" fillId="7" fontId="4" numFmtId="0" xfId="0" applyAlignment="1" applyBorder="1" applyFill="1" applyFont="1">
      <alignment horizontal="center" readingOrder="0" vertical="center"/>
    </xf>
    <xf borderId="20" fillId="0" fontId="16" numFmtId="0" xfId="0" applyAlignment="1" applyBorder="1" applyFont="1">
      <alignment readingOrder="0" vertical="center"/>
    </xf>
    <xf borderId="23" fillId="0" fontId="16" numFmtId="0" xfId="0" applyAlignment="1" applyBorder="1" applyFont="1">
      <alignment readingOrder="0" vertical="center"/>
    </xf>
    <xf borderId="26" fillId="0" fontId="16" numFmtId="0" xfId="0" applyAlignment="1" applyBorder="1" applyFont="1">
      <alignment readingOrder="0" vertical="center"/>
    </xf>
    <xf borderId="9" fillId="8" fontId="4" numFmtId="0" xfId="0" applyAlignment="1" applyBorder="1" applyFill="1" applyFont="1">
      <alignment horizontal="center" readingOrder="0" vertical="center"/>
    </xf>
    <xf borderId="20" fillId="0" fontId="17" numFmtId="0" xfId="0" applyAlignment="1" applyBorder="1" applyFont="1">
      <alignment readingOrder="0" vertical="center"/>
    </xf>
    <xf borderId="23" fillId="0" fontId="17" numFmtId="0" xfId="0" applyAlignment="1" applyBorder="1" applyFont="1">
      <alignment readingOrder="0" vertical="center"/>
    </xf>
    <xf borderId="26" fillId="0" fontId="17" numFmtId="0" xfId="0" applyAlignment="1" applyBorder="1" applyFont="1">
      <alignment readingOrder="0" vertical="center"/>
    </xf>
    <xf borderId="9" fillId="9" fontId="4" numFmtId="0" xfId="0" applyAlignment="1" applyBorder="1" applyFill="1" applyFont="1">
      <alignment horizontal="center" readingOrder="0" vertical="center"/>
    </xf>
    <xf borderId="20" fillId="0" fontId="18" numFmtId="0" xfId="0" applyAlignment="1" applyBorder="1" applyFont="1">
      <alignment readingOrder="0" vertical="center"/>
    </xf>
    <xf borderId="0" fillId="0" fontId="6" numFmtId="0" xfId="0" applyAlignment="1" applyFont="1">
      <alignment vertical="center"/>
    </xf>
    <xf borderId="23" fillId="0" fontId="18" numFmtId="0" xfId="0" applyAlignment="1" applyBorder="1" applyFont="1">
      <alignment readingOrder="0" vertical="center"/>
    </xf>
    <xf borderId="26" fillId="0" fontId="18" numFmtId="0" xfId="0" applyAlignment="1" applyBorder="1" applyFont="1">
      <alignment readingOrder="0" vertical="center"/>
    </xf>
    <xf borderId="9" fillId="4" fontId="6" numFmtId="0" xfId="0" applyAlignment="1" applyBorder="1" applyFont="1">
      <alignment vertical="center"/>
    </xf>
    <xf borderId="10" fillId="4" fontId="6" numFmtId="0" xfId="0" applyAlignment="1" applyBorder="1" applyFont="1">
      <alignment vertical="center"/>
    </xf>
    <xf borderId="11" fillId="4" fontId="6" numFmtId="0" xfId="0" applyAlignment="1" applyBorder="1" applyFont="1">
      <alignment vertical="center"/>
    </xf>
    <xf borderId="12" fillId="4" fontId="19" numFmtId="0" xfId="0" applyAlignment="1" applyBorder="1" applyFont="1">
      <alignment horizontal="right" readingOrder="0" vertical="center"/>
    </xf>
    <xf borderId="0" fillId="4" fontId="20" numFmtId="0" xfId="0" applyAlignment="1" applyFont="1">
      <alignment horizontal="center" readingOrder="0" vertical="center"/>
    </xf>
    <xf borderId="0" fillId="4" fontId="19" numFmtId="0" xfId="0" applyAlignment="1" applyFont="1">
      <alignment horizontal="left" readingOrder="0" vertical="center"/>
    </xf>
    <xf borderId="0" fillId="4" fontId="21" numFmtId="0" xfId="0" applyAlignment="1" applyFont="1">
      <alignment horizontal="left" readingOrder="0" vertical="center"/>
    </xf>
    <xf borderId="0" fillId="4" fontId="6" numFmtId="0" xfId="0" applyAlignment="1" applyFont="1">
      <alignment vertical="center"/>
    </xf>
    <xf borderId="29" fillId="5" fontId="1" numFmtId="0" xfId="0" applyAlignment="1" applyBorder="1" applyFont="1">
      <alignment horizontal="center" readingOrder="0" vertical="center"/>
    </xf>
    <xf borderId="13" fillId="4" fontId="1" numFmtId="0" xfId="0" applyAlignment="1" applyBorder="1" applyFont="1">
      <alignment vertical="center"/>
    </xf>
    <xf borderId="12" fillId="0" fontId="3" numFmtId="0" xfId="0" applyBorder="1" applyFont="1"/>
    <xf borderId="30" fillId="0" fontId="3" numFmtId="0" xfId="0" applyBorder="1" applyFont="1"/>
    <xf borderId="14" fillId="4" fontId="6" numFmtId="0" xfId="0" applyAlignment="1" applyBorder="1" applyFont="1">
      <alignment vertical="center"/>
    </xf>
    <xf borderId="15" fillId="4" fontId="6" numFmtId="0" xfId="0" applyAlignment="1" applyBorder="1" applyFont="1">
      <alignment vertical="center"/>
    </xf>
    <xf borderId="16" fillId="4" fontId="6" numFmtId="0" xfId="0" applyAlignment="1" applyBorder="1" applyFont="1">
      <alignment vertical="center"/>
    </xf>
    <xf borderId="0" fillId="0" fontId="22" numFmtId="0" xfId="0" applyAlignment="1" applyFont="1">
      <alignment vertical="center"/>
    </xf>
    <xf borderId="0" fillId="0" fontId="22" numFmtId="0" xfId="0" applyAlignment="1" applyFont="1">
      <alignment readingOrder="0" vertical="center"/>
    </xf>
    <xf borderId="0" fillId="0" fontId="23" numFmtId="0" xfId="0" applyAlignment="1" applyFont="1">
      <alignment readingOrder="0" vertical="center"/>
    </xf>
    <xf borderId="0" fillId="0" fontId="22" numFmtId="0" xfId="0" applyAlignment="1" applyFont="1">
      <alignment readingOrder="0"/>
    </xf>
    <xf borderId="0" fillId="0" fontId="22" numFmtId="10" xfId="0" applyAlignment="1" applyFont="1" applyNumberFormat="1">
      <alignment vertical="center"/>
    </xf>
    <xf borderId="0" fillId="0" fontId="22" numFmtId="10" xfId="0" applyAlignment="1" applyFont="1" applyNumberFormat="1">
      <alignment readingOrder="0" vertical="center"/>
    </xf>
    <xf borderId="0" fillId="0" fontId="23" numFmtId="10" xfId="0" applyAlignment="1" applyFont="1" applyNumberFormat="1">
      <alignment readingOrder="0" vertical="center"/>
    </xf>
    <xf borderId="9" fillId="7" fontId="24" numFmtId="0" xfId="0" applyAlignment="1" applyBorder="1" applyFont="1">
      <alignment horizontal="center" readingOrder="0" vertical="center"/>
    </xf>
    <xf borderId="13" fillId="0" fontId="25" numFmtId="0" xfId="0" applyAlignment="1" applyBorder="1" applyFont="1">
      <alignment vertical="center"/>
    </xf>
    <xf borderId="9" fillId="7" fontId="26" numFmtId="0" xfId="0" applyAlignment="1" applyBorder="1" applyFont="1">
      <alignment horizontal="center" readingOrder="0" vertical="center"/>
    </xf>
    <xf borderId="13" fillId="0" fontId="25" numFmtId="0" xfId="0" applyAlignment="1" applyBorder="1" applyFont="1">
      <alignment vertical="center"/>
    </xf>
    <xf borderId="10" fillId="7" fontId="26" numFmtId="0" xfId="0" applyAlignment="1" applyBorder="1" applyFont="1">
      <alignment horizontal="center" readingOrder="0" vertical="center"/>
    </xf>
    <xf borderId="12" fillId="8" fontId="27" numFmtId="0" xfId="0" applyAlignment="1" applyBorder="1" applyFont="1">
      <alignment readingOrder="0" vertical="center"/>
    </xf>
    <xf borderId="31" fillId="0" fontId="3" numFmtId="0" xfId="0" applyBorder="1" applyFont="1"/>
    <xf borderId="0" fillId="8" fontId="1" numFmtId="0" xfId="0" applyAlignment="1" applyFont="1">
      <alignment horizontal="center" vertical="center"/>
    </xf>
    <xf borderId="13" fillId="0" fontId="3" numFmtId="0" xfId="0" applyBorder="1" applyFont="1"/>
    <xf borderId="12" fillId="8" fontId="1" numFmtId="0" xfId="0" applyAlignment="1" applyBorder="1" applyFont="1">
      <alignment readingOrder="0" vertical="center"/>
    </xf>
    <xf borderId="32" fillId="0" fontId="3" numFmtId="0" xfId="0" applyBorder="1" applyFont="1"/>
    <xf borderId="33" fillId="0" fontId="3" numFmtId="0" xfId="0" applyBorder="1" applyFont="1"/>
    <xf borderId="34" fillId="0" fontId="3" numFmtId="0" xfId="0" applyBorder="1" applyFont="1"/>
    <xf borderId="35" fillId="0" fontId="3" numFmtId="0" xfId="0" applyBorder="1" applyFont="1"/>
    <xf borderId="0" fillId="8" fontId="1" numFmtId="0" xfId="0" applyAlignment="1" applyFont="1">
      <alignment horizontal="center" vertical="center"/>
    </xf>
    <xf borderId="0" fillId="8" fontId="1" numFmtId="164" xfId="0" applyAlignment="1" applyFont="1" applyNumberFormat="1">
      <alignment horizontal="center" vertical="center"/>
    </xf>
    <xf borderId="36" fillId="0" fontId="3" numFmtId="0" xfId="0" applyBorder="1" applyFont="1"/>
    <xf borderId="0" fillId="0" fontId="25" numFmtId="0" xfId="0" applyAlignment="1" applyFont="1">
      <alignment vertical="center"/>
    </xf>
    <xf borderId="0" fillId="3" fontId="25" numFmtId="0" xfId="0" applyAlignment="1" applyFont="1">
      <alignment vertical="center"/>
    </xf>
    <xf borderId="15" fillId="0" fontId="25" numFmtId="0" xfId="0" applyAlignment="1" applyBorder="1" applyFont="1">
      <alignment vertical="center"/>
    </xf>
    <xf borderId="15" fillId="3" fontId="25" numFmtId="0" xfId="0" applyAlignment="1" applyBorder="1" applyFont="1">
      <alignment vertical="center"/>
    </xf>
    <xf borderId="12" fillId="7" fontId="26" numFmtId="0" xfId="0" applyAlignment="1" applyBorder="1" applyFont="1">
      <alignment horizontal="center" readingOrder="0" vertical="center"/>
    </xf>
    <xf borderId="0" fillId="7" fontId="26" numFmtId="0" xfId="0" applyAlignment="1" applyFont="1">
      <alignment horizontal="center" readingOrder="0" vertical="center"/>
    </xf>
    <xf borderId="0" fillId="0" fontId="12" numFmtId="0" xfId="0" applyAlignment="1" applyFont="1">
      <alignment readingOrder="0" vertical="center"/>
    </xf>
    <xf borderId="0" fillId="0" fontId="12" numFmtId="0" xfId="0" applyAlignment="1" applyFont="1">
      <alignment vertical="center"/>
    </xf>
    <xf borderId="0" fillId="0" fontId="12" numFmtId="165" xfId="0" applyAlignment="1" applyFont="1" applyNumberFormat="1">
      <alignment vertical="center"/>
    </xf>
    <xf borderId="0" fillId="0" fontId="12" numFmtId="0" xfId="0" applyAlignment="1" applyFont="1">
      <alignment shrinkToFit="0" vertical="center" wrapText="0"/>
    </xf>
    <xf borderId="9" fillId="4" fontId="12" numFmtId="0" xfId="0" applyAlignment="1" applyBorder="1" applyFont="1">
      <alignment vertical="center"/>
    </xf>
    <xf borderId="10" fillId="4" fontId="12" numFmtId="0" xfId="0" applyAlignment="1" applyBorder="1" applyFont="1">
      <alignment vertical="center"/>
    </xf>
    <xf borderId="10" fillId="4" fontId="12" numFmtId="0" xfId="0" applyAlignment="1" applyBorder="1" applyFont="1">
      <alignment shrinkToFit="0" vertical="center" wrapText="0"/>
    </xf>
    <xf borderId="0" fillId="4" fontId="12" numFmtId="0" xfId="0" applyAlignment="1" applyFont="1">
      <alignment vertical="center"/>
    </xf>
    <xf borderId="0" fillId="4" fontId="28" numFmtId="0" xfId="0" applyAlignment="1" applyFont="1">
      <alignment horizontal="center" vertical="center"/>
    </xf>
    <xf borderId="0" fillId="4" fontId="25" numFmtId="0" xfId="0" applyAlignment="1" applyFont="1">
      <alignment vertical="center"/>
    </xf>
    <xf borderId="0" fillId="4" fontId="28" numFmtId="0" xfId="0" applyAlignment="1" applyFont="1">
      <alignment horizontal="center" vertical="center"/>
    </xf>
    <xf borderId="0" fillId="5" fontId="25" numFmtId="0" xfId="0" applyAlignment="1" applyFont="1">
      <alignment vertical="center"/>
    </xf>
    <xf borderId="0" fillId="4" fontId="28" numFmtId="10" xfId="0" applyAlignment="1" applyFont="1" applyNumberFormat="1">
      <alignment horizontal="center" vertical="center"/>
    </xf>
    <xf borderId="14" fillId="4" fontId="12" numFmtId="0" xfId="0" applyAlignment="1" applyBorder="1" applyFont="1">
      <alignment vertical="center"/>
    </xf>
    <xf borderId="15" fillId="4" fontId="12" numFmtId="0" xfId="0" applyAlignment="1" applyBorder="1" applyFont="1">
      <alignment vertical="center"/>
    </xf>
    <xf borderId="15" fillId="4" fontId="12" numFmtId="0" xfId="0" applyAlignment="1" applyBorder="1" applyFont="1">
      <alignment shrinkToFit="0" vertical="center" wrapText="0"/>
    </xf>
    <xf borderId="29" fillId="7" fontId="4" numFmtId="0" xfId="0" applyAlignment="1" applyBorder="1" applyFont="1">
      <alignment horizontal="center" readingOrder="0" vertical="center"/>
    </xf>
    <xf borderId="17" fillId="8" fontId="29" numFmtId="0" xfId="0" applyAlignment="1" applyBorder="1" applyFont="1">
      <alignment horizontal="center" readingOrder="0" vertical="center"/>
    </xf>
    <xf borderId="17" fillId="5" fontId="29" numFmtId="0" xfId="0" applyAlignment="1" applyBorder="1" applyFont="1">
      <alignment horizontal="center" readingOrder="0" vertical="center"/>
    </xf>
    <xf borderId="17" fillId="10" fontId="29" numFmtId="0" xfId="0" applyAlignment="1" applyBorder="1" applyFill="1" applyFont="1">
      <alignment horizontal="center" readingOrder="0" vertical="center"/>
    </xf>
    <xf borderId="17" fillId="9" fontId="29" numFmtId="0" xfId="0" applyAlignment="1" applyBorder="1" applyFont="1">
      <alignment horizontal="center" readingOrder="0" vertical="center"/>
    </xf>
    <xf borderId="17" fillId="4" fontId="30" numFmtId="166" xfId="0" applyAlignment="1" applyBorder="1" applyFont="1" applyNumberFormat="1">
      <alignment horizontal="center" vertical="center"/>
    </xf>
    <xf borderId="9" fillId="7" fontId="2" numFmtId="0" xfId="0" applyAlignment="1" applyBorder="1" applyFont="1">
      <alignment horizontal="center" readingOrder="0" vertical="center"/>
    </xf>
    <xf borderId="37" fillId="8" fontId="30" numFmtId="166" xfId="0" applyAlignment="1" applyBorder="1" applyFont="1" applyNumberFormat="1">
      <alignment horizontal="center" vertical="center"/>
    </xf>
    <xf borderId="37" fillId="5" fontId="30" numFmtId="166" xfId="0" applyAlignment="1" applyBorder="1" applyFont="1" applyNumberFormat="1">
      <alignment horizontal="center" vertical="center"/>
    </xf>
    <xf borderId="37" fillId="10" fontId="30" numFmtId="166" xfId="0" applyAlignment="1" applyBorder="1" applyFont="1" applyNumberFormat="1">
      <alignment horizontal="center" vertical="center"/>
    </xf>
    <xf borderId="37" fillId="9" fontId="30" numFmtId="166" xfId="0" applyAlignment="1" applyBorder="1" applyFont="1" applyNumberFormat="1">
      <alignment horizontal="center" vertical="center"/>
    </xf>
    <xf borderId="37" fillId="4" fontId="30" numFmtId="166" xfId="0" applyAlignment="1" applyBorder="1" applyFont="1" applyNumberFormat="1">
      <alignment horizontal="center" vertical="center"/>
    </xf>
    <xf borderId="11" fillId="4" fontId="30" numFmtId="166" xfId="0" applyAlignment="1" applyBorder="1" applyFont="1" applyNumberFormat="1">
      <alignment horizontal="center" vertical="center"/>
    </xf>
    <xf borderId="0" fillId="0" fontId="12" numFmtId="0" xfId="0" applyAlignment="1" applyFont="1">
      <alignment horizontal="center" vertical="center"/>
    </xf>
    <xf borderId="37" fillId="11" fontId="12" numFmtId="167" xfId="0" applyAlignment="1" applyBorder="1" applyFill="1" applyFont="1" applyNumberFormat="1">
      <alignment horizontal="center" vertical="center"/>
    </xf>
    <xf borderId="37" fillId="8" fontId="30" numFmtId="0" xfId="0" applyAlignment="1" applyBorder="1" applyFont="1">
      <alignment horizontal="center" vertical="center"/>
    </xf>
    <xf borderId="37" fillId="5" fontId="30" numFmtId="0" xfId="0" applyAlignment="1" applyBorder="1" applyFont="1">
      <alignment horizontal="center" vertical="center"/>
    </xf>
    <xf borderId="37" fillId="10" fontId="30" numFmtId="0" xfId="0" applyAlignment="1" applyBorder="1" applyFont="1">
      <alignment horizontal="center" vertical="center"/>
    </xf>
    <xf borderId="37" fillId="9" fontId="30" numFmtId="0" xfId="0" applyAlignment="1" applyBorder="1" applyFont="1">
      <alignment horizontal="center" vertical="center"/>
    </xf>
    <xf borderId="37" fillId="4" fontId="30" numFmtId="0" xfId="0" applyAlignment="1" applyBorder="1" applyFont="1">
      <alignment horizontal="center" vertical="center"/>
    </xf>
    <xf borderId="30" fillId="11" fontId="12" numFmtId="0" xfId="0" applyAlignment="1" applyBorder="1" applyFont="1">
      <alignment horizontal="center" readingOrder="0" vertical="center"/>
    </xf>
    <xf borderId="14" fillId="11" fontId="12" numFmtId="0" xfId="0" applyAlignment="1" applyBorder="1" applyFont="1">
      <alignment horizontal="center" readingOrder="0" vertical="center"/>
    </xf>
    <xf borderId="15" fillId="11" fontId="12" numFmtId="0" xfId="0" applyAlignment="1" applyBorder="1" applyFont="1">
      <alignment horizontal="center" readingOrder="0" vertical="center"/>
    </xf>
    <xf borderId="16" fillId="12" fontId="12" numFmtId="0" xfId="0" applyAlignment="1" applyBorder="1" applyFill="1" applyFont="1">
      <alignment horizontal="center" readingOrder="0" vertical="center"/>
    </xf>
    <xf borderId="37" fillId="0" fontId="12" numFmtId="0" xfId="0" applyAlignment="1" applyBorder="1" applyFont="1">
      <alignment horizontal="center" readingOrder="0" vertical="center"/>
    </xf>
    <xf borderId="13" fillId="8" fontId="30" numFmtId="0" xfId="0" applyAlignment="1" applyBorder="1" applyFont="1">
      <alignment readingOrder="0" vertical="center"/>
    </xf>
    <xf borderId="38" fillId="8" fontId="30" numFmtId="0" xfId="0" applyAlignment="1" applyBorder="1" applyFont="1">
      <alignment readingOrder="0" vertical="center"/>
    </xf>
    <xf borderId="38" fillId="5" fontId="30" numFmtId="0" xfId="0" applyAlignment="1" applyBorder="1" applyFont="1">
      <alignment readingOrder="0" vertical="center"/>
    </xf>
    <xf borderId="38" fillId="10" fontId="30" numFmtId="0" xfId="0" applyAlignment="1" applyBorder="1" applyFont="1">
      <alignment readingOrder="0" vertical="center"/>
    </xf>
    <xf borderId="38" fillId="9" fontId="30" numFmtId="0" xfId="0" applyAlignment="1" applyBorder="1" applyFont="1">
      <alignment readingOrder="0" vertical="center"/>
    </xf>
    <xf borderId="38" fillId="4" fontId="30" numFmtId="0" xfId="0" applyAlignment="1" applyBorder="1" applyFont="1">
      <alignment readingOrder="0" vertical="center"/>
    </xf>
    <xf borderId="37" fillId="3" fontId="12" numFmtId="0" xfId="0" applyAlignment="1" applyBorder="1" applyFont="1">
      <alignment horizontal="center" readingOrder="0" vertical="center"/>
    </xf>
    <xf borderId="37" fillId="3" fontId="12" numFmtId="0" xfId="0" applyAlignment="1" applyBorder="1" applyFont="1">
      <alignment horizontal="center" vertical="center"/>
    </xf>
    <xf borderId="17" fillId="3" fontId="12" numFmtId="0" xfId="0" applyAlignment="1" applyBorder="1" applyFont="1">
      <alignment horizontal="center" readingOrder="0" vertical="center"/>
    </xf>
    <xf borderId="0" fillId="0" fontId="12" numFmtId="0" xfId="0" applyAlignment="1" applyFont="1">
      <alignment horizontal="center" readingOrder="0" vertical="center"/>
    </xf>
    <xf borderId="16" fillId="8" fontId="30" numFmtId="0" xfId="0" applyAlignment="1" applyBorder="1" applyFont="1">
      <alignment readingOrder="0" vertical="center"/>
    </xf>
    <xf borderId="30" fillId="8" fontId="30" numFmtId="0" xfId="0" applyAlignment="1" applyBorder="1" applyFont="1">
      <alignment readingOrder="0" vertical="center"/>
    </xf>
    <xf borderId="30" fillId="5" fontId="30" numFmtId="0" xfId="0" applyAlignment="1" applyBorder="1" applyFont="1">
      <alignment readingOrder="0" vertical="center"/>
    </xf>
    <xf borderId="30" fillId="10" fontId="30" numFmtId="0" xfId="0" applyAlignment="1" applyBorder="1" applyFont="1">
      <alignment readingOrder="0" vertical="center"/>
    </xf>
    <xf borderId="30" fillId="9" fontId="30" numFmtId="0" xfId="0" applyAlignment="1" applyBorder="1" applyFont="1">
      <alignment readingOrder="0" vertical="center"/>
    </xf>
    <xf borderId="30" fillId="4" fontId="30" numFmtId="0" xfId="0" applyAlignment="1" applyBorder="1" applyFont="1">
      <alignment readingOrder="0" vertical="center"/>
    </xf>
    <xf borderId="37" fillId="7" fontId="31" numFmtId="0" xfId="0" applyAlignment="1" applyBorder="1" applyFont="1">
      <alignment horizontal="center" readingOrder="0" vertical="center"/>
    </xf>
    <xf borderId="29" fillId="5" fontId="12" numFmtId="9" xfId="0" applyAlignment="1" applyBorder="1" applyFont="1" applyNumberFormat="1">
      <alignment horizontal="center" vertical="center"/>
    </xf>
    <xf borderId="0" fillId="0" fontId="7" numFmtId="0" xfId="0" applyFont="1"/>
    <xf borderId="0" fillId="0" fontId="7" numFmtId="0" xfId="0" applyAlignment="1" applyFont="1">
      <alignment horizontal="right"/>
    </xf>
    <xf borderId="38" fillId="5" fontId="12" numFmtId="0" xfId="0" applyAlignment="1" applyBorder="1" applyFont="1">
      <alignment horizontal="center" readingOrder="0" vertical="center"/>
    </xf>
    <xf borderId="30" fillId="5" fontId="12" numFmtId="0" xfId="0" applyAlignment="1" applyBorder="1" applyFont="1">
      <alignment horizontal="center" readingOrder="0" vertical="center"/>
    </xf>
    <xf borderId="0" fillId="0" fontId="25" numFmtId="0" xfId="0" applyFont="1"/>
    <xf borderId="17" fillId="7" fontId="12" numFmtId="0" xfId="0" applyAlignment="1" applyBorder="1" applyFont="1">
      <alignment horizontal="center" readingOrder="0" vertical="center"/>
    </xf>
    <xf borderId="37" fillId="0" fontId="7" numFmtId="0" xfId="0" applyAlignment="1" applyBorder="1" applyFont="1">
      <alignment horizontal="center" readingOrder="0" vertical="center"/>
    </xf>
    <xf borderId="39" fillId="0" fontId="12" numFmtId="0" xfId="0" applyAlignment="1" applyBorder="1" applyFont="1">
      <alignment horizontal="center" readingOrder="0" vertical="center"/>
    </xf>
    <xf borderId="17" fillId="11" fontId="12" numFmtId="2" xfId="0" applyAlignment="1" applyBorder="1" applyFont="1" applyNumberFormat="1">
      <alignment horizontal="center" vertical="center"/>
    </xf>
    <xf borderId="40" fillId="0" fontId="12" numFmtId="0" xfId="0" applyAlignment="1" applyBorder="1" applyFont="1">
      <alignment horizontal="center" readingOrder="0" vertical="center"/>
    </xf>
    <xf borderId="41" fillId="0" fontId="12" numFmtId="0" xfId="0" applyAlignment="1" applyBorder="1" applyFont="1">
      <alignment horizontal="center" readingOrder="0" vertical="center"/>
    </xf>
    <xf borderId="17" fillId="8" fontId="30" numFmtId="0" xfId="0" applyAlignment="1" applyBorder="1" applyFont="1">
      <alignment horizontal="center" readingOrder="0" vertical="center"/>
    </xf>
    <xf borderId="18" fillId="5" fontId="30" numFmtId="0" xfId="0" applyAlignment="1" applyBorder="1" applyFont="1">
      <alignment horizontal="center" readingOrder="0" vertical="center"/>
    </xf>
    <xf borderId="18" fillId="9" fontId="30" numFmtId="0" xfId="0" applyAlignment="1" applyBorder="1" applyFont="1">
      <alignment horizontal="center" readingOrder="0" vertical="center"/>
    </xf>
    <xf borderId="18" fillId="10" fontId="30" numFmtId="0" xfId="0" applyAlignment="1" applyBorder="1" applyFont="1">
      <alignment horizontal="center" readingOrder="0" vertical="center"/>
    </xf>
    <xf borderId="17" fillId="8" fontId="30" numFmtId="0" xfId="0" applyAlignment="1" applyBorder="1" applyFont="1">
      <alignment horizontal="left" readingOrder="0" vertical="center"/>
    </xf>
    <xf borderId="37" fillId="8" fontId="30" numFmtId="0" xfId="0" applyAlignment="1" applyBorder="1" applyFont="1">
      <alignment readingOrder="0" vertical="center"/>
    </xf>
    <xf borderId="18" fillId="5" fontId="30" numFmtId="0" xfId="0" applyAlignment="1" applyBorder="1" applyFont="1">
      <alignment horizontal="left" readingOrder="0" vertical="center"/>
    </xf>
    <xf borderId="37" fillId="5" fontId="30" numFmtId="0" xfId="0" applyAlignment="1" applyBorder="1" applyFont="1">
      <alignment readingOrder="0" vertical="center"/>
    </xf>
    <xf borderId="18" fillId="9" fontId="30" numFmtId="0" xfId="0" applyAlignment="1" applyBorder="1" applyFont="1">
      <alignment horizontal="left" readingOrder="0" vertical="center"/>
    </xf>
    <xf borderId="37" fillId="9" fontId="30" numFmtId="0" xfId="0" applyAlignment="1" applyBorder="1" applyFont="1">
      <alignment readingOrder="0" vertical="center"/>
    </xf>
    <xf borderId="18" fillId="10" fontId="30" numFmtId="0" xfId="0" applyAlignment="1" applyBorder="1" applyFont="1">
      <alignment horizontal="left" readingOrder="0" vertical="center"/>
    </xf>
    <xf borderId="37" fillId="10" fontId="30" numFmtId="0" xfId="0" applyAlignment="1" applyBorder="1" applyFont="1">
      <alignment readingOrder="0" vertical="center"/>
    </xf>
    <xf borderId="0" fillId="0" fontId="32" numFmtId="0" xfId="0" applyAlignment="1" applyFont="1">
      <alignment readingOrder="0" vertical="center"/>
    </xf>
    <xf borderId="0" fillId="0" fontId="33" numFmtId="0" xfId="0" applyAlignment="1" applyFont="1">
      <alignment readingOrder="0" vertical="center"/>
    </xf>
    <xf borderId="20" fillId="0" fontId="12" numFmtId="0" xfId="0" applyAlignment="1" applyBorder="1" applyFont="1">
      <alignment horizontal="left" readingOrder="0" shrinkToFit="0" vertical="center" wrapText="1"/>
    </xf>
    <xf borderId="38" fillId="0" fontId="3" numFmtId="0" xfId="0" applyBorder="1" applyFont="1"/>
    <xf borderId="23" fillId="0" fontId="12" numFmtId="0" xfId="0" applyAlignment="1" applyBorder="1" applyFont="1">
      <alignment horizontal="left" readingOrder="0" shrinkToFit="0" vertical="center" wrapText="1"/>
    </xf>
    <xf borderId="26" fillId="0" fontId="12" numFmtId="0" xfId="0" applyAlignment="1" applyBorder="1" applyFont="1">
      <alignment horizontal="left" readingOrder="0" shrinkToFit="0" vertical="center" wrapText="1"/>
    </xf>
    <xf borderId="0" fillId="0" fontId="12" numFmtId="0" xfId="0" applyAlignment="1" applyFont="1">
      <alignment horizontal="left" readingOrder="0" vertical="center"/>
    </xf>
    <xf borderId="17" fillId="13" fontId="12" numFmtId="0" xfId="0" applyAlignment="1" applyBorder="1" applyFill="1" applyFont="1">
      <alignment horizontal="center" readingOrder="0" vertical="center"/>
    </xf>
    <xf borderId="17" fillId="0" fontId="12" numFmtId="0" xfId="0" applyAlignment="1" applyBorder="1" applyFont="1">
      <alignment horizontal="left" readingOrder="0" vertical="center"/>
    </xf>
    <xf borderId="37" fillId="0" fontId="34" numFmtId="0" xfId="0" applyAlignment="1" applyBorder="1" applyFont="1">
      <alignment horizontal="center" readingOrder="0" vertical="center"/>
    </xf>
    <xf borderId="0" fillId="0" fontId="12" numFmtId="0" xfId="0" applyAlignment="1" applyFont="1">
      <alignment horizontal="center" readingOrder="0" vertical="center"/>
    </xf>
    <xf borderId="0" fillId="0" fontId="22" numFmtId="0" xfId="0" applyAlignment="1" applyFont="1">
      <alignment horizontal="right" vertical="bottom"/>
    </xf>
    <xf borderId="0" fillId="0" fontId="25" numFmtId="0" xfId="0" applyAlignment="1" applyFont="1">
      <alignment vertical="bottom"/>
    </xf>
    <xf borderId="0" fillId="0" fontId="35" numFmtId="0" xfId="0" applyAlignment="1" applyFont="1">
      <alignment horizontal="right" vertical="bottom"/>
    </xf>
    <xf borderId="17" fillId="5" fontId="30" numFmtId="0" xfId="0" applyAlignment="1" applyBorder="1" applyFont="1">
      <alignment horizontal="center" readingOrder="0" vertical="center"/>
    </xf>
    <xf borderId="17" fillId="10" fontId="30" numFmtId="0" xfId="0" applyAlignment="1" applyBorder="1" applyFont="1">
      <alignment horizontal="center" readingOrder="0" vertical="center"/>
    </xf>
    <xf borderId="17" fillId="9" fontId="30" numFmtId="0" xfId="0" applyAlignment="1" applyBorder="1" applyFont="1">
      <alignment horizontal="center" readingOrder="0" vertical="center"/>
    </xf>
    <xf borderId="37" fillId="7" fontId="12" numFmtId="0" xfId="0" applyAlignment="1" applyBorder="1" applyFont="1">
      <alignment horizontal="center" readingOrder="0" vertical="center"/>
    </xf>
    <xf borderId="0" fillId="0" fontId="6" numFmtId="0" xfId="0" applyFont="1"/>
    <xf borderId="0" fillId="3" fontId="36" numFmtId="0" xfId="0" applyAlignment="1" applyFont="1">
      <alignment horizontal="center" readingOrder="0" vertical="center"/>
    </xf>
    <xf borderId="0" fillId="0" fontId="6" numFmtId="0" xfId="0" applyFont="1"/>
    <xf borderId="0" fillId="0" fontId="3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1">
    <dxf>
      <font/>
      <fill>
        <patternFill patternType="solid">
          <fgColor rgb="FFC9E4B2"/>
          <bgColor rgb="FFC9E4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Dashboard!$C$9</c:f>
            </c:strRef>
          </c:tx>
          <c:spPr>
            <a:solidFill>
              <a:srgbClr val="999B85"/>
            </a:solidFill>
            <a:ln cmpd="sng">
              <a:solidFill>
                <a:srgbClr val="000000"/>
              </a:solidFill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Tahoma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Dashboard!$B$10:$B$21</c:f>
            </c:strRef>
          </c:cat>
          <c:val>
            <c:numRef>
              <c:f>Dashboard!$C$10:$C$21</c:f>
              <c:numCache/>
            </c:numRef>
          </c:val>
        </c:ser>
        <c:axId val="438643256"/>
        <c:axId val="293394339"/>
      </c:barChart>
      <c:catAx>
        <c:axId val="438643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Roboto"/>
              </a:defRPr>
            </a:pPr>
          </a:p>
        </c:txPr>
        <c:crossAx val="293394339"/>
      </c:catAx>
      <c:valAx>
        <c:axId val="2933943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FFFFFF"/>
                </a:solidFill>
                <a:latin typeface="+mn-lt"/>
              </a:defRPr>
            </a:pPr>
          </a:p>
        </c:txPr>
        <c:crossAx val="438643256"/>
      </c:valAx>
    </c:plotArea>
    <c:plotVisOnly val="0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F8B9C0">
                <a:alpha val="30000"/>
              </a:srgbClr>
            </a:solidFill>
            <a:ln cmpd="sng">
              <a:solidFill>
                <a:srgbClr val="F8B9C0">
                  <a:alpha val="100000"/>
                </a:srgbClr>
              </a:solidFill>
            </a:ln>
          </c:spPr>
          <c:val>
            <c:numRef>
              <c:f>Yan!$C$24:$AG$24</c:f>
              <c:numCache/>
            </c:numRef>
          </c:val>
        </c:ser>
        <c:axId val="282766816"/>
        <c:axId val="113318004"/>
      </c:areaChart>
      <c:catAx>
        <c:axId val="282766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318004"/>
      </c:catAx>
      <c:valAx>
        <c:axId val="113318004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B7B7B7"/>
                </a:solidFill>
                <a:latin typeface="+mn-lt"/>
              </a:defRPr>
            </a:pPr>
          </a:p>
        </c:txPr>
        <c:crossAx val="282766816"/>
      </c:valAx>
    </c:plotArea>
    <c:plotVisOnly val="1"/>
  </c:chart>
  <c:spPr>
    <a:solidFill>
      <a:srgbClr val="FFFFFF">
        <a:alpha val="0"/>
      </a:srgbClr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F8B9C0">
                <a:alpha val="30000"/>
              </a:srgbClr>
            </a:solidFill>
            <a:ln cmpd="sng">
              <a:solidFill>
                <a:srgbClr val="F8B9C0">
                  <a:alpha val="100000"/>
                </a:srgbClr>
              </a:solidFill>
            </a:ln>
          </c:spPr>
          <c:val>
            <c:numRef>
              <c:f>Fev!$C$24:$AG$24</c:f>
              <c:numCache/>
            </c:numRef>
          </c:val>
        </c:ser>
        <c:axId val="1098503374"/>
        <c:axId val="436430148"/>
      </c:areaChart>
      <c:catAx>
        <c:axId val="10985033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6430148"/>
      </c:catAx>
      <c:valAx>
        <c:axId val="43643014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B7B7B7"/>
                </a:solidFill>
                <a:latin typeface="+mn-lt"/>
              </a:defRPr>
            </a:pPr>
          </a:p>
        </c:txPr>
        <c:crossAx val="1098503374"/>
      </c:valAx>
    </c:plotArea>
    <c:plotVisOnly val="1"/>
  </c:chart>
  <c:spPr>
    <a:solidFill>
      <a:srgbClr val="FFFFFF">
        <a:alpha val="0"/>
      </a:srgbClr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F8B9C0">
                <a:alpha val="30000"/>
              </a:srgbClr>
            </a:solidFill>
            <a:ln cmpd="sng">
              <a:solidFill>
                <a:srgbClr val="F8B9C0">
                  <a:alpha val="100000"/>
                </a:srgbClr>
              </a:solidFill>
            </a:ln>
          </c:spPr>
          <c:val>
            <c:numRef>
              <c:f>Mart!$C$24:$AG$24</c:f>
              <c:numCache/>
            </c:numRef>
          </c:val>
        </c:ser>
        <c:axId val="1761546971"/>
        <c:axId val="1469427219"/>
      </c:areaChart>
      <c:catAx>
        <c:axId val="17615469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9427219"/>
      </c:catAx>
      <c:valAx>
        <c:axId val="1469427219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B7B7B7"/>
                </a:solidFill>
                <a:latin typeface="+mn-lt"/>
              </a:defRPr>
            </a:pPr>
          </a:p>
        </c:txPr>
        <c:crossAx val="1761546971"/>
      </c:valAx>
    </c:plotArea>
    <c:plotVisOnly val="1"/>
  </c:chart>
  <c:spPr>
    <a:solidFill>
      <a:srgbClr val="FFFFFF">
        <a:alpha val="0"/>
      </a:srgbClr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F8B9C0">
                <a:alpha val="30000"/>
              </a:srgbClr>
            </a:solidFill>
            <a:ln cmpd="sng">
              <a:solidFill>
                <a:srgbClr val="F8B9C0">
                  <a:alpha val="100000"/>
                </a:srgbClr>
              </a:solidFill>
            </a:ln>
          </c:spPr>
          <c:val>
            <c:numRef>
              <c:f>Apr!$C$24:$AG$24</c:f>
              <c:numCache/>
            </c:numRef>
          </c:val>
        </c:ser>
        <c:axId val="1112750590"/>
        <c:axId val="114096820"/>
      </c:areaChart>
      <c:catAx>
        <c:axId val="11127505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096820"/>
      </c:catAx>
      <c:valAx>
        <c:axId val="114096820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B7B7B7"/>
                </a:solidFill>
                <a:latin typeface="+mn-lt"/>
              </a:defRPr>
            </a:pPr>
          </a:p>
        </c:txPr>
        <c:crossAx val="1112750590"/>
      </c:valAx>
    </c:plotArea>
    <c:plotVisOnly val="1"/>
  </c:chart>
  <c:spPr>
    <a:solidFill>
      <a:srgbClr val="FFFFFF">
        <a:alpha val="0"/>
      </a:srgbClr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F8B9C0">
                <a:alpha val="30000"/>
              </a:srgbClr>
            </a:solidFill>
            <a:ln cmpd="sng">
              <a:solidFill>
                <a:srgbClr val="F8B9C0">
                  <a:alpha val="100000"/>
                </a:srgbClr>
              </a:solidFill>
            </a:ln>
          </c:spPr>
          <c:val>
            <c:numRef>
              <c:f>May!$C$24:$AG$24</c:f>
              <c:numCache/>
            </c:numRef>
          </c:val>
        </c:ser>
        <c:axId val="1244813440"/>
        <c:axId val="1052112996"/>
      </c:areaChart>
      <c:catAx>
        <c:axId val="1244813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2112996"/>
      </c:catAx>
      <c:valAx>
        <c:axId val="1052112996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B7B7B7"/>
                </a:solidFill>
                <a:latin typeface="+mn-lt"/>
              </a:defRPr>
            </a:pPr>
          </a:p>
        </c:txPr>
        <c:crossAx val="1244813440"/>
      </c:valAx>
    </c:plotArea>
    <c:plotVisOnly val="1"/>
  </c:chart>
  <c:spPr>
    <a:solidFill>
      <a:srgbClr val="FFFFFF">
        <a:alpha val="0"/>
      </a:srgbClr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F8B9C0">
                <a:alpha val="30000"/>
              </a:srgbClr>
            </a:solidFill>
            <a:ln cmpd="sng">
              <a:solidFill>
                <a:srgbClr val="F8B9C0">
                  <a:alpha val="100000"/>
                </a:srgbClr>
              </a:solidFill>
            </a:ln>
          </c:spPr>
          <c:val>
            <c:numRef>
              <c:f>Iyun!$C$24:$AG$24</c:f>
              <c:numCache/>
            </c:numRef>
          </c:val>
        </c:ser>
        <c:axId val="102667200"/>
        <c:axId val="1489661424"/>
      </c:areaChart>
      <c:catAx>
        <c:axId val="102667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9661424"/>
      </c:catAx>
      <c:valAx>
        <c:axId val="1489661424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B7B7B7"/>
                </a:solidFill>
                <a:latin typeface="+mn-lt"/>
              </a:defRPr>
            </a:pPr>
          </a:p>
        </c:txPr>
        <c:crossAx val="102667200"/>
      </c:valAx>
    </c:plotArea>
    <c:plotVisOnly val="1"/>
  </c:chart>
  <c:spPr>
    <a:solidFill>
      <a:srgbClr val="FFFFFF">
        <a:alpha val="0"/>
      </a:srgbClr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F8B9C0">
                <a:alpha val="30000"/>
              </a:srgbClr>
            </a:solidFill>
            <a:ln cmpd="sng">
              <a:solidFill>
                <a:srgbClr val="F8B9C0">
                  <a:alpha val="100000"/>
                </a:srgbClr>
              </a:solidFill>
            </a:ln>
          </c:spPr>
          <c:val>
            <c:numRef>
              <c:f>Iyul!$C$24:$AG$24</c:f>
              <c:numCache/>
            </c:numRef>
          </c:val>
        </c:ser>
        <c:axId val="16094362"/>
        <c:axId val="966678470"/>
      </c:areaChart>
      <c:catAx>
        <c:axId val="160943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6678470"/>
      </c:catAx>
      <c:valAx>
        <c:axId val="966678470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B7B7B7"/>
                </a:solidFill>
                <a:latin typeface="+mn-lt"/>
              </a:defRPr>
            </a:pPr>
          </a:p>
        </c:txPr>
        <c:crossAx val="16094362"/>
      </c:valAx>
    </c:plotArea>
    <c:plotVisOnly val="1"/>
  </c:chart>
  <c:spPr>
    <a:solidFill>
      <a:srgbClr val="FFFFFF">
        <a:alpha val="0"/>
      </a:srgbClr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F8B9C0">
                <a:alpha val="30000"/>
              </a:srgbClr>
            </a:solidFill>
            <a:ln cmpd="sng">
              <a:solidFill>
                <a:srgbClr val="F8B9C0">
                  <a:alpha val="100000"/>
                </a:srgbClr>
              </a:solidFill>
            </a:ln>
          </c:spPr>
          <c:val>
            <c:numRef>
              <c:f>Avg!$C$24:$AG$24</c:f>
              <c:numCache/>
            </c:numRef>
          </c:val>
        </c:ser>
        <c:axId val="1574444248"/>
        <c:axId val="1343198876"/>
      </c:areaChart>
      <c:catAx>
        <c:axId val="1574444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3198876"/>
      </c:catAx>
      <c:valAx>
        <c:axId val="1343198876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B7B7B7"/>
                </a:solidFill>
                <a:latin typeface="+mn-lt"/>
              </a:defRPr>
            </a:pPr>
          </a:p>
        </c:txPr>
        <c:crossAx val="1574444248"/>
      </c:valAx>
    </c:plotArea>
    <c:plotVisOnly val="1"/>
  </c:chart>
  <c:spPr>
    <a:solidFill>
      <a:srgbClr val="FFFFFF">
        <a:alpha val="0"/>
      </a:srgbClr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F8B9C0">
                <a:alpha val="30000"/>
              </a:srgbClr>
            </a:solidFill>
            <a:ln cmpd="sng">
              <a:solidFill>
                <a:srgbClr val="F8B9C0">
                  <a:alpha val="100000"/>
                </a:srgbClr>
              </a:solidFill>
            </a:ln>
          </c:spPr>
          <c:val>
            <c:numRef>
              <c:f>Sen!$C$24:$AG$24</c:f>
              <c:numCache/>
            </c:numRef>
          </c:val>
        </c:ser>
        <c:axId val="415782987"/>
        <c:axId val="1558128492"/>
      </c:areaChart>
      <c:catAx>
        <c:axId val="4157829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8128492"/>
      </c:catAx>
      <c:valAx>
        <c:axId val="1558128492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B7B7B7"/>
                </a:solidFill>
                <a:latin typeface="+mn-lt"/>
              </a:defRPr>
            </a:pPr>
          </a:p>
        </c:txPr>
        <c:crossAx val="415782987"/>
      </c:valAx>
    </c:plotArea>
    <c:plotVisOnly val="1"/>
  </c:chart>
  <c:spPr>
    <a:solidFill>
      <a:srgbClr val="FFFFFF">
        <a:alpha val="0"/>
      </a:srgbClr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F8B9C0">
                <a:alpha val="30000"/>
              </a:srgbClr>
            </a:solidFill>
            <a:ln cmpd="sng">
              <a:solidFill>
                <a:srgbClr val="F8B9C0">
                  <a:alpha val="100000"/>
                </a:srgbClr>
              </a:solidFill>
            </a:ln>
          </c:spPr>
          <c:val>
            <c:numRef>
              <c:f>Okt!$C$24:$AG$24</c:f>
              <c:numCache/>
            </c:numRef>
          </c:val>
        </c:ser>
        <c:axId val="1585109690"/>
        <c:axId val="1293989366"/>
      </c:areaChart>
      <c:catAx>
        <c:axId val="15851096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3989366"/>
      </c:catAx>
      <c:valAx>
        <c:axId val="1293989366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B7B7B7"/>
                </a:solidFill>
                <a:latin typeface="+mn-lt"/>
              </a:defRPr>
            </a:pPr>
          </a:p>
        </c:txPr>
        <c:crossAx val="1585109690"/>
      </c:valAx>
    </c:plotArea>
    <c:plotVisOnly val="1"/>
  </c:chart>
  <c:spPr>
    <a:solidFill>
      <a:srgbClr val="FFFFFF">
        <a:alpha val="0"/>
      </a:srgbClr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F8B9C0">
                <a:alpha val="30000"/>
              </a:srgbClr>
            </a:solidFill>
            <a:ln cmpd="sng">
              <a:solidFill>
                <a:srgbClr val="F8B9C0">
                  <a:alpha val="100000"/>
                </a:srgbClr>
              </a:solidFill>
            </a:ln>
          </c:spPr>
          <c:val>
            <c:numRef>
              <c:f>Noy!$C$24:$AG$24</c:f>
              <c:numCache/>
            </c:numRef>
          </c:val>
        </c:ser>
        <c:axId val="1224344683"/>
        <c:axId val="97829480"/>
      </c:areaChart>
      <c:catAx>
        <c:axId val="12243446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829480"/>
      </c:catAx>
      <c:valAx>
        <c:axId val="97829480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B7B7B7"/>
                </a:solidFill>
                <a:latin typeface="+mn-lt"/>
              </a:defRPr>
            </a:pPr>
          </a:p>
        </c:txPr>
        <c:crossAx val="1224344683"/>
      </c:valAx>
    </c:plotArea>
    <c:plotVisOnly val="1"/>
  </c:chart>
  <c:spPr>
    <a:solidFill>
      <a:srgbClr val="FFFFFF">
        <a:alpha val="0"/>
      </a:srgbClr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F8B9C0">
                <a:alpha val="30000"/>
              </a:srgbClr>
            </a:solidFill>
            <a:ln cmpd="sng">
              <a:solidFill>
                <a:srgbClr val="F8B9C0">
                  <a:alpha val="100000"/>
                </a:srgbClr>
              </a:solidFill>
            </a:ln>
          </c:spPr>
          <c:val>
            <c:numRef>
              <c:f>Dek!$C$24:$AG$24</c:f>
              <c:numCache/>
            </c:numRef>
          </c:val>
        </c:ser>
        <c:axId val="1045829327"/>
        <c:axId val="560322233"/>
      </c:areaChart>
      <c:catAx>
        <c:axId val="10458293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0322233"/>
      </c:catAx>
      <c:valAx>
        <c:axId val="560322233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B7B7B7"/>
                </a:solidFill>
                <a:latin typeface="+mn-lt"/>
              </a:defRPr>
            </a:pPr>
          </a:p>
        </c:txPr>
        <c:crossAx val="1045829327"/>
      </c:valAx>
    </c:plotArea>
    <c:plotVisOnly val="1"/>
  </c:chart>
  <c:spPr>
    <a:solidFill>
      <a:srgbClr val="FFFFFF">
        <a:alpha val="0"/>
      </a:srgbClr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323850</xdr:colOff>
      <xdr:row>6</xdr:row>
      <xdr:rowOff>9525</xdr:rowOff>
    </xdr:from>
    <xdr:ext cx="10144125" cy="30670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1952625</xdr:colOff>
      <xdr:row>25</xdr:row>
      <xdr:rowOff>209550</xdr:rowOff>
    </xdr:from>
    <xdr:ext cx="10039350" cy="17811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1952625</xdr:colOff>
      <xdr:row>25</xdr:row>
      <xdr:rowOff>209550</xdr:rowOff>
    </xdr:from>
    <xdr:ext cx="10039350" cy="17811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1952625</xdr:colOff>
      <xdr:row>25</xdr:row>
      <xdr:rowOff>209550</xdr:rowOff>
    </xdr:from>
    <xdr:ext cx="10039350" cy="17811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1952625</xdr:colOff>
      <xdr:row>25</xdr:row>
      <xdr:rowOff>209550</xdr:rowOff>
    </xdr:from>
    <xdr:ext cx="10039350" cy="17811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1952625</xdr:colOff>
      <xdr:row>25</xdr:row>
      <xdr:rowOff>209550</xdr:rowOff>
    </xdr:from>
    <xdr:ext cx="10039350" cy="17811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1952625</xdr:colOff>
      <xdr:row>25</xdr:row>
      <xdr:rowOff>209550</xdr:rowOff>
    </xdr:from>
    <xdr:ext cx="10039350" cy="17811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1952625</xdr:colOff>
      <xdr:row>25</xdr:row>
      <xdr:rowOff>209550</xdr:rowOff>
    </xdr:from>
    <xdr:ext cx="10039350" cy="17811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1952625</xdr:colOff>
      <xdr:row>25</xdr:row>
      <xdr:rowOff>209550</xdr:rowOff>
    </xdr:from>
    <xdr:ext cx="10039350" cy="17811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1952625</xdr:colOff>
      <xdr:row>25</xdr:row>
      <xdr:rowOff>209550</xdr:rowOff>
    </xdr:from>
    <xdr:ext cx="10039350" cy="17811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1952625</xdr:colOff>
      <xdr:row>25</xdr:row>
      <xdr:rowOff>209550</xdr:rowOff>
    </xdr:from>
    <xdr:ext cx="10039350" cy="17811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1952625</xdr:colOff>
      <xdr:row>25</xdr:row>
      <xdr:rowOff>209550</xdr:rowOff>
    </xdr:from>
    <xdr:ext cx="10039350" cy="17811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1952625</xdr:colOff>
      <xdr:row>25</xdr:row>
      <xdr:rowOff>209550</xdr:rowOff>
    </xdr:from>
    <xdr:ext cx="10039350" cy="17811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8" width="4.13"/>
  </cols>
  <sheetData>
    <row r="1" ht="21.0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21.0" customHeight="1">
      <c r="B2" s="2" t="s">
        <v>0</v>
      </c>
    </row>
    <row r="3" ht="21.0" customHeight="1"/>
    <row r="4" ht="21.0" customHeight="1"/>
    <row r="5" ht="21.0" customHeight="1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21.0" customHeight="1">
      <c r="B6" s="3" t="s">
        <v>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5"/>
    </row>
    <row r="7" ht="21.0" customHeight="1">
      <c r="B7" s="6" t="s">
        <v>2</v>
      </c>
      <c r="AA7" s="7"/>
    </row>
    <row r="8" ht="21.0" customHeight="1">
      <c r="B8" s="6" t="s">
        <v>3</v>
      </c>
      <c r="AA8" s="7"/>
    </row>
    <row r="9" ht="21.0" customHeight="1">
      <c r="B9" s="6" t="s">
        <v>4</v>
      </c>
      <c r="AA9" s="7"/>
    </row>
    <row r="10" ht="21.0" customHeight="1">
      <c r="B10" s="6" t="s">
        <v>5</v>
      </c>
      <c r="AA10" s="7"/>
    </row>
    <row r="11" ht="21.0" customHeight="1">
      <c r="B11" s="8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</row>
    <row r="12" ht="21.0" customHeight="1">
      <c r="B12" s="8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</row>
    <row r="13" ht="21.0" customHeight="1">
      <c r="B13" s="8" t="s">
        <v>6</v>
      </c>
      <c r="AA13" s="7"/>
    </row>
    <row r="14" ht="21.0" customHeight="1">
      <c r="B14" s="11"/>
      <c r="AA14" s="7"/>
    </row>
    <row r="15" ht="21.0" customHeight="1">
      <c r="B15" s="11"/>
      <c r="AA15" s="7"/>
    </row>
    <row r="16" ht="21.0" customHeight="1">
      <c r="B16" s="12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4"/>
    </row>
    <row r="17" ht="21.0" customHeight="1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ht="21.0" customHeight="1">
      <c r="B18" s="16"/>
    </row>
    <row r="19" ht="21.0" customHeight="1"/>
    <row r="20" ht="21.0" customHeight="1"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</row>
  </sheetData>
  <mergeCells count="8">
    <mergeCell ref="B2:AA4"/>
    <mergeCell ref="B6:AA6"/>
    <mergeCell ref="B7:AA7"/>
    <mergeCell ref="B8:AA8"/>
    <mergeCell ref="B9:AA9"/>
    <mergeCell ref="B10:AA10"/>
    <mergeCell ref="B13:AA16"/>
    <mergeCell ref="B18:AA1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2" width="4.5"/>
    <col customWidth="1" min="13" max="13" width="11.38"/>
    <col customWidth="1" min="14" max="51" width="4.5"/>
  </cols>
  <sheetData>
    <row r="1" ht="17.25" customHeight="1">
      <c r="A1" s="18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</row>
    <row r="2" ht="17.25" customHeight="1">
      <c r="A2" s="19"/>
      <c r="B2" s="20"/>
      <c r="C2" s="21"/>
      <c r="D2" s="21"/>
      <c r="E2" s="21"/>
      <c r="F2" s="21"/>
      <c r="G2" s="21"/>
      <c r="H2" s="21"/>
      <c r="I2" s="22"/>
      <c r="J2" s="22"/>
      <c r="K2" s="22"/>
      <c r="L2" s="22"/>
      <c r="M2" s="23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4"/>
      <c r="AY2" s="19"/>
    </row>
    <row r="3" ht="17.25" customHeight="1">
      <c r="A3" s="19"/>
      <c r="B3" s="25"/>
      <c r="C3" s="26" t="s">
        <v>7</v>
      </c>
      <c r="D3" s="27" t="s">
        <v>8</v>
      </c>
      <c r="N3" s="26" t="s">
        <v>9</v>
      </c>
      <c r="O3" s="28"/>
      <c r="P3" s="29" t="s">
        <v>10</v>
      </c>
      <c r="U3" s="29" t="s">
        <v>11</v>
      </c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2"/>
      <c r="AY3" s="19"/>
    </row>
    <row r="4" ht="17.25" customHeight="1">
      <c r="A4" s="19"/>
      <c r="B4" s="33"/>
      <c r="O4" s="28"/>
      <c r="P4" s="34">
        <f>counta(C10:G17,C22:G29,C34:G41,C46:G53,AB46:AF53,AB34:AF41,AB22:AF29,AB10:AF17)</f>
        <v>0</v>
      </c>
      <c r="U4" s="35">
        <f>sum(COUNTIF(B10:B17,TRUE),COUNTIF(B22:B29,TRUE),COUNTIF(B34:B41,TRUE),COUNTIF(B46:B53,TRUE),COUNTIF(AA10:AA17,TRUE),COUNTIF(AA22:AA29,TRUE),COUNTIF(AA34:AA41,TRUE),COUNTIF(AA46:AA53,TRUE))</f>
        <v>0</v>
      </c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2"/>
      <c r="AY4" s="19"/>
    </row>
    <row r="5" ht="17.25" customHeight="1">
      <c r="A5" s="19"/>
      <c r="B5" s="36"/>
      <c r="C5" s="37"/>
      <c r="D5" s="37"/>
      <c r="E5" s="37"/>
      <c r="F5" s="37"/>
      <c r="G5" s="37"/>
      <c r="H5" s="37"/>
      <c r="I5" s="38"/>
      <c r="J5" s="38"/>
      <c r="K5" s="38"/>
      <c r="L5" s="38"/>
      <c r="M5" s="39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40"/>
      <c r="AY5" s="19"/>
    </row>
    <row r="6" ht="17.25" customHeight="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</row>
    <row r="7" ht="17.25" customHeight="1">
      <c r="A7" s="19"/>
      <c r="B7" s="41" t="s">
        <v>12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42"/>
      <c r="Z7" s="19"/>
      <c r="AA7" s="41" t="s">
        <v>13</v>
      </c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42"/>
      <c r="AY7" s="19"/>
    </row>
    <row r="8" ht="17.25" customHeight="1">
      <c r="A8" s="19"/>
      <c r="B8" s="43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44"/>
      <c r="Z8" s="19"/>
      <c r="AA8" s="43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44"/>
      <c r="AY8" s="19"/>
    </row>
    <row r="9" ht="17.25" customHeight="1">
      <c r="A9" s="19"/>
      <c r="B9" s="45" t="s">
        <v>14</v>
      </c>
      <c r="C9" s="46"/>
      <c r="D9" s="46"/>
      <c r="E9" s="46"/>
      <c r="F9" s="46"/>
      <c r="G9" s="47"/>
      <c r="H9" s="45" t="s">
        <v>15</v>
      </c>
      <c r="I9" s="46"/>
      <c r="J9" s="46"/>
      <c r="K9" s="46"/>
      <c r="L9" s="46"/>
      <c r="M9" s="47"/>
      <c r="N9" s="45" t="s">
        <v>16</v>
      </c>
      <c r="O9" s="46"/>
      <c r="P9" s="46"/>
      <c r="Q9" s="46"/>
      <c r="R9" s="46"/>
      <c r="S9" s="47"/>
      <c r="T9" s="45" t="s">
        <v>17</v>
      </c>
      <c r="U9" s="46"/>
      <c r="V9" s="46"/>
      <c r="W9" s="46"/>
      <c r="X9" s="46"/>
      <c r="Y9" s="47"/>
      <c r="Z9" s="19"/>
      <c r="AA9" s="45" t="s">
        <v>14</v>
      </c>
      <c r="AB9" s="46"/>
      <c r="AC9" s="46"/>
      <c r="AD9" s="46"/>
      <c r="AE9" s="46"/>
      <c r="AF9" s="47"/>
      <c r="AG9" s="45" t="s">
        <v>15</v>
      </c>
      <c r="AH9" s="46"/>
      <c r="AI9" s="46"/>
      <c r="AJ9" s="46"/>
      <c r="AK9" s="46"/>
      <c r="AL9" s="47"/>
      <c r="AM9" s="45" t="s">
        <v>16</v>
      </c>
      <c r="AN9" s="46"/>
      <c r="AO9" s="46"/>
      <c r="AP9" s="46"/>
      <c r="AQ9" s="46"/>
      <c r="AR9" s="47"/>
      <c r="AS9" s="45" t="s">
        <v>17</v>
      </c>
      <c r="AT9" s="46"/>
      <c r="AU9" s="46"/>
      <c r="AV9" s="46"/>
      <c r="AW9" s="46"/>
      <c r="AX9" s="47"/>
      <c r="AY9" s="19"/>
    </row>
    <row r="10" ht="17.25" customHeight="1">
      <c r="A10" s="19"/>
      <c r="B10" s="48" t="b">
        <v>0</v>
      </c>
      <c r="C10" s="49"/>
      <c r="D10" s="50"/>
      <c r="E10" s="50"/>
      <c r="F10" s="50"/>
      <c r="G10" s="51"/>
      <c r="H10" s="49"/>
      <c r="I10" s="50"/>
      <c r="J10" s="50"/>
      <c r="K10" s="50"/>
      <c r="L10" s="50"/>
      <c r="M10" s="51"/>
      <c r="N10" s="49"/>
      <c r="O10" s="50"/>
      <c r="P10" s="50"/>
      <c r="Q10" s="50"/>
      <c r="R10" s="50"/>
      <c r="S10" s="51"/>
      <c r="T10" s="49"/>
      <c r="U10" s="50"/>
      <c r="V10" s="50"/>
      <c r="W10" s="50"/>
      <c r="X10" s="50"/>
      <c r="Y10" s="51"/>
      <c r="Z10" s="19"/>
      <c r="AA10" s="48" t="b">
        <v>0</v>
      </c>
      <c r="AB10" s="52"/>
      <c r="AC10" s="50"/>
      <c r="AD10" s="50"/>
      <c r="AE10" s="50"/>
      <c r="AF10" s="51"/>
      <c r="AG10" s="52"/>
      <c r="AH10" s="50"/>
      <c r="AI10" s="50"/>
      <c r="AJ10" s="50"/>
      <c r="AK10" s="50"/>
      <c r="AL10" s="51"/>
      <c r="AM10" s="52"/>
      <c r="AN10" s="50"/>
      <c r="AO10" s="50"/>
      <c r="AP10" s="50"/>
      <c r="AQ10" s="50"/>
      <c r="AR10" s="51"/>
      <c r="AS10" s="52"/>
      <c r="AT10" s="50"/>
      <c r="AU10" s="50"/>
      <c r="AV10" s="50"/>
      <c r="AW10" s="50"/>
      <c r="AX10" s="51"/>
      <c r="AY10" s="19"/>
    </row>
    <row r="11" ht="17.25" customHeight="1">
      <c r="A11" s="19"/>
      <c r="B11" s="53" t="b">
        <v>0</v>
      </c>
      <c r="C11" s="54"/>
      <c r="D11" s="55"/>
      <c r="E11" s="55"/>
      <c r="F11" s="55"/>
      <c r="G11" s="56"/>
      <c r="H11" s="54"/>
      <c r="I11" s="55"/>
      <c r="J11" s="55"/>
      <c r="K11" s="55"/>
      <c r="L11" s="55"/>
      <c r="M11" s="56"/>
      <c r="N11" s="54"/>
      <c r="O11" s="55"/>
      <c r="P11" s="55"/>
      <c r="Q11" s="55"/>
      <c r="R11" s="55"/>
      <c r="S11" s="56"/>
      <c r="T11" s="54"/>
      <c r="U11" s="55"/>
      <c r="V11" s="55"/>
      <c r="W11" s="55"/>
      <c r="X11" s="55"/>
      <c r="Y11" s="56"/>
      <c r="Z11" s="19"/>
      <c r="AA11" s="53" t="b">
        <v>0</v>
      </c>
      <c r="AB11" s="57"/>
      <c r="AC11" s="55"/>
      <c r="AD11" s="55"/>
      <c r="AE11" s="55"/>
      <c r="AF11" s="56"/>
      <c r="AG11" s="57"/>
      <c r="AH11" s="55"/>
      <c r="AI11" s="55"/>
      <c r="AJ11" s="55"/>
      <c r="AK11" s="55"/>
      <c r="AL11" s="56"/>
      <c r="AM11" s="57"/>
      <c r="AN11" s="55"/>
      <c r="AO11" s="55"/>
      <c r="AP11" s="55"/>
      <c r="AQ11" s="55"/>
      <c r="AR11" s="56"/>
      <c r="AS11" s="57"/>
      <c r="AT11" s="55"/>
      <c r="AU11" s="55"/>
      <c r="AV11" s="55"/>
      <c r="AW11" s="55"/>
      <c r="AX11" s="56"/>
      <c r="AY11" s="19"/>
    </row>
    <row r="12" ht="17.25" customHeight="1">
      <c r="A12" s="19"/>
      <c r="B12" s="53" t="b">
        <v>0</v>
      </c>
      <c r="C12" s="54"/>
      <c r="D12" s="55"/>
      <c r="E12" s="55"/>
      <c r="F12" s="55"/>
      <c r="G12" s="56"/>
      <c r="H12" s="54"/>
      <c r="I12" s="55"/>
      <c r="J12" s="55"/>
      <c r="K12" s="55"/>
      <c r="L12" s="55"/>
      <c r="M12" s="56"/>
      <c r="N12" s="54"/>
      <c r="O12" s="55"/>
      <c r="P12" s="55"/>
      <c r="Q12" s="55"/>
      <c r="R12" s="55"/>
      <c r="S12" s="56"/>
      <c r="T12" s="54"/>
      <c r="U12" s="55"/>
      <c r="V12" s="55"/>
      <c r="W12" s="55"/>
      <c r="X12" s="55"/>
      <c r="Y12" s="56"/>
      <c r="Z12" s="19"/>
      <c r="AA12" s="53" t="b">
        <v>0</v>
      </c>
      <c r="AB12" s="57"/>
      <c r="AC12" s="55"/>
      <c r="AD12" s="55"/>
      <c r="AE12" s="55"/>
      <c r="AF12" s="56"/>
      <c r="AG12" s="57"/>
      <c r="AH12" s="55"/>
      <c r="AI12" s="55"/>
      <c r="AJ12" s="55"/>
      <c r="AK12" s="55"/>
      <c r="AL12" s="56"/>
      <c r="AM12" s="54"/>
      <c r="AN12" s="55"/>
      <c r="AO12" s="55"/>
      <c r="AP12" s="55"/>
      <c r="AQ12" s="55"/>
      <c r="AR12" s="56"/>
      <c r="AS12" s="57"/>
      <c r="AT12" s="55"/>
      <c r="AU12" s="55"/>
      <c r="AV12" s="55"/>
      <c r="AW12" s="55"/>
      <c r="AX12" s="56"/>
      <c r="AY12" s="19"/>
    </row>
    <row r="13" ht="17.25" customHeight="1">
      <c r="A13" s="19"/>
      <c r="B13" s="53" t="b">
        <v>0</v>
      </c>
      <c r="C13" s="54"/>
      <c r="D13" s="55"/>
      <c r="E13" s="55"/>
      <c r="F13" s="55"/>
      <c r="G13" s="56"/>
      <c r="H13" s="54"/>
      <c r="I13" s="55"/>
      <c r="J13" s="55"/>
      <c r="K13" s="55"/>
      <c r="L13" s="55"/>
      <c r="M13" s="56"/>
      <c r="N13" s="54"/>
      <c r="O13" s="55"/>
      <c r="P13" s="55"/>
      <c r="Q13" s="55"/>
      <c r="R13" s="55"/>
      <c r="S13" s="56"/>
      <c r="T13" s="54"/>
      <c r="U13" s="55"/>
      <c r="V13" s="55"/>
      <c r="W13" s="55"/>
      <c r="X13" s="55"/>
      <c r="Y13" s="56"/>
      <c r="Z13" s="19"/>
      <c r="AA13" s="53" t="b">
        <v>0</v>
      </c>
      <c r="AB13" s="57"/>
      <c r="AC13" s="55"/>
      <c r="AD13" s="55"/>
      <c r="AE13" s="55"/>
      <c r="AF13" s="56"/>
      <c r="AG13" s="57"/>
      <c r="AH13" s="55"/>
      <c r="AI13" s="55"/>
      <c r="AJ13" s="55"/>
      <c r="AK13" s="55"/>
      <c r="AL13" s="56"/>
      <c r="AM13" s="57"/>
      <c r="AN13" s="55"/>
      <c r="AO13" s="55"/>
      <c r="AP13" s="55"/>
      <c r="AQ13" s="55"/>
      <c r="AR13" s="56"/>
      <c r="AS13" s="57"/>
      <c r="AT13" s="55"/>
      <c r="AU13" s="55"/>
      <c r="AV13" s="55"/>
      <c r="AW13" s="55"/>
      <c r="AX13" s="56"/>
      <c r="AY13" s="19"/>
    </row>
    <row r="14" ht="17.25" customHeight="1">
      <c r="A14" s="19"/>
      <c r="B14" s="53" t="b">
        <v>0</v>
      </c>
      <c r="C14" s="54"/>
      <c r="D14" s="55"/>
      <c r="E14" s="55"/>
      <c r="F14" s="55"/>
      <c r="G14" s="56"/>
      <c r="H14" s="54"/>
      <c r="I14" s="55"/>
      <c r="J14" s="55"/>
      <c r="K14" s="55"/>
      <c r="L14" s="55"/>
      <c r="M14" s="56"/>
      <c r="N14" s="54"/>
      <c r="O14" s="55"/>
      <c r="P14" s="55"/>
      <c r="Q14" s="55"/>
      <c r="R14" s="55"/>
      <c r="S14" s="56"/>
      <c r="T14" s="54"/>
      <c r="U14" s="55"/>
      <c r="V14" s="55"/>
      <c r="W14" s="55"/>
      <c r="X14" s="55"/>
      <c r="Y14" s="56"/>
      <c r="Z14" s="19"/>
      <c r="AA14" s="53" t="b">
        <v>0</v>
      </c>
      <c r="AB14" s="57"/>
      <c r="AC14" s="55"/>
      <c r="AD14" s="55"/>
      <c r="AE14" s="55"/>
      <c r="AF14" s="56"/>
      <c r="AG14" s="57"/>
      <c r="AH14" s="55"/>
      <c r="AI14" s="55"/>
      <c r="AJ14" s="55"/>
      <c r="AK14" s="55"/>
      <c r="AL14" s="56"/>
      <c r="AM14" s="57"/>
      <c r="AN14" s="55"/>
      <c r="AO14" s="55"/>
      <c r="AP14" s="55"/>
      <c r="AQ14" s="55"/>
      <c r="AR14" s="56"/>
      <c r="AS14" s="57"/>
      <c r="AT14" s="55"/>
      <c r="AU14" s="55"/>
      <c r="AV14" s="55"/>
      <c r="AW14" s="55"/>
      <c r="AX14" s="56"/>
      <c r="AY14" s="19"/>
    </row>
    <row r="15" ht="17.25" customHeight="1">
      <c r="A15" s="19"/>
      <c r="B15" s="53" t="b">
        <v>0</v>
      </c>
      <c r="C15" s="57"/>
      <c r="D15" s="55"/>
      <c r="E15" s="55"/>
      <c r="F15" s="55"/>
      <c r="G15" s="56"/>
      <c r="H15" s="57"/>
      <c r="I15" s="55"/>
      <c r="J15" s="55"/>
      <c r="K15" s="55"/>
      <c r="L15" s="55"/>
      <c r="M15" s="56"/>
      <c r="N15" s="57"/>
      <c r="O15" s="55"/>
      <c r="P15" s="55"/>
      <c r="Q15" s="55"/>
      <c r="R15" s="55"/>
      <c r="S15" s="56"/>
      <c r="T15" s="57"/>
      <c r="U15" s="55"/>
      <c r="V15" s="55"/>
      <c r="W15" s="55"/>
      <c r="X15" s="55"/>
      <c r="Y15" s="56"/>
      <c r="Z15" s="19"/>
      <c r="AA15" s="53" t="b">
        <v>0</v>
      </c>
      <c r="AB15" s="57"/>
      <c r="AC15" s="55"/>
      <c r="AD15" s="55"/>
      <c r="AE15" s="55"/>
      <c r="AF15" s="56"/>
      <c r="AG15" s="57"/>
      <c r="AH15" s="55"/>
      <c r="AI15" s="55"/>
      <c r="AJ15" s="55"/>
      <c r="AK15" s="55"/>
      <c r="AL15" s="56"/>
      <c r="AM15" s="57"/>
      <c r="AN15" s="55"/>
      <c r="AO15" s="55"/>
      <c r="AP15" s="55"/>
      <c r="AQ15" s="55"/>
      <c r="AR15" s="56"/>
      <c r="AS15" s="57"/>
      <c r="AT15" s="55"/>
      <c r="AU15" s="55"/>
      <c r="AV15" s="55"/>
      <c r="AW15" s="55"/>
      <c r="AX15" s="56"/>
      <c r="AY15" s="19"/>
    </row>
    <row r="16" ht="17.25" customHeight="1">
      <c r="A16" s="19"/>
      <c r="B16" s="53" t="b">
        <v>0</v>
      </c>
      <c r="C16" s="57"/>
      <c r="D16" s="55"/>
      <c r="E16" s="55"/>
      <c r="F16" s="55"/>
      <c r="G16" s="56"/>
      <c r="H16" s="57"/>
      <c r="I16" s="55"/>
      <c r="J16" s="55"/>
      <c r="K16" s="55"/>
      <c r="L16" s="55"/>
      <c r="M16" s="56"/>
      <c r="N16" s="57"/>
      <c r="O16" s="55"/>
      <c r="P16" s="55"/>
      <c r="Q16" s="55"/>
      <c r="R16" s="55"/>
      <c r="S16" s="56"/>
      <c r="T16" s="57"/>
      <c r="U16" s="55"/>
      <c r="V16" s="55"/>
      <c r="W16" s="55"/>
      <c r="X16" s="55"/>
      <c r="Y16" s="56"/>
      <c r="Z16" s="19"/>
      <c r="AA16" s="53" t="b">
        <v>0</v>
      </c>
      <c r="AB16" s="57"/>
      <c r="AC16" s="55"/>
      <c r="AD16" s="55"/>
      <c r="AE16" s="55"/>
      <c r="AF16" s="56"/>
      <c r="AG16" s="57"/>
      <c r="AH16" s="55"/>
      <c r="AI16" s="55"/>
      <c r="AJ16" s="55"/>
      <c r="AK16" s="55"/>
      <c r="AL16" s="56"/>
      <c r="AM16" s="57"/>
      <c r="AN16" s="55"/>
      <c r="AO16" s="55"/>
      <c r="AP16" s="55"/>
      <c r="AQ16" s="55"/>
      <c r="AR16" s="56"/>
      <c r="AS16" s="57"/>
      <c r="AT16" s="55"/>
      <c r="AU16" s="55"/>
      <c r="AV16" s="55"/>
      <c r="AW16" s="55"/>
      <c r="AX16" s="56"/>
      <c r="AY16" s="19"/>
    </row>
    <row r="17" ht="17.25" customHeight="1">
      <c r="A17" s="19"/>
      <c r="B17" s="58" t="b">
        <v>0</v>
      </c>
      <c r="C17" s="59"/>
      <c r="D17" s="60"/>
      <c r="E17" s="60"/>
      <c r="F17" s="60"/>
      <c r="G17" s="61"/>
      <c r="H17" s="59"/>
      <c r="I17" s="60"/>
      <c r="J17" s="60"/>
      <c r="K17" s="60"/>
      <c r="L17" s="60"/>
      <c r="M17" s="61"/>
      <c r="N17" s="59"/>
      <c r="O17" s="60"/>
      <c r="P17" s="60"/>
      <c r="Q17" s="60"/>
      <c r="R17" s="60"/>
      <c r="S17" s="61"/>
      <c r="T17" s="59"/>
      <c r="U17" s="60"/>
      <c r="V17" s="60"/>
      <c r="W17" s="60"/>
      <c r="X17" s="60"/>
      <c r="Y17" s="61"/>
      <c r="Z17" s="19"/>
      <c r="AA17" s="58" t="b">
        <v>0</v>
      </c>
      <c r="AB17" s="59"/>
      <c r="AC17" s="60"/>
      <c r="AD17" s="60"/>
      <c r="AE17" s="60"/>
      <c r="AF17" s="61"/>
      <c r="AG17" s="59"/>
      <c r="AH17" s="60"/>
      <c r="AI17" s="60"/>
      <c r="AJ17" s="60"/>
      <c r="AK17" s="60"/>
      <c r="AL17" s="61"/>
      <c r="AM17" s="59"/>
      <c r="AN17" s="60"/>
      <c r="AO17" s="60"/>
      <c r="AP17" s="60"/>
      <c r="AQ17" s="60"/>
      <c r="AR17" s="61"/>
      <c r="AS17" s="59"/>
      <c r="AT17" s="60"/>
      <c r="AU17" s="60"/>
      <c r="AV17" s="60"/>
      <c r="AW17" s="60"/>
      <c r="AX17" s="61"/>
      <c r="AY17" s="19"/>
    </row>
    <row r="18" ht="17.25" customHeight="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</row>
    <row r="19" ht="17.25" customHeight="1">
      <c r="A19" s="19"/>
      <c r="B19" s="62" t="s">
        <v>18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42"/>
      <c r="Z19" s="19"/>
      <c r="AA19" s="62" t="s">
        <v>19</v>
      </c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42"/>
      <c r="AY19" s="19"/>
    </row>
    <row r="20" ht="17.25" customHeight="1">
      <c r="A20" s="19"/>
      <c r="B20" s="43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44"/>
      <c r="Z20" s="19"/>
      <c r="AA20" s="43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44"/>
      <c r="AY20" s="19"/>
    </row>
    <row r="21" ht="17.25" customHeight="1">
      <c r="A21" s="19"/>
      <c r="B21" s="45" t="s">
        <v>14</v>
      </c>
      <c r="C21" s="46"/>
      <c r="D21" s="46"/>
      <c r="E21" s="46"/>
      <c r="F21" s="46"/>
      <c r="G21" s="47"/>
      <c r="H21" s="45" t="s">
        <v>15</v>
      </c>
      <c r="I21" s="46"/>
      <c r="J21" s="46"/>
      <c r="K21" s="46"/>
      <c r="L21" s="46"/>
      <c r="M21" s="47"/>
      <c r="N21" s="45" t="s">
        <v>16</v>
      </c>
      <c r="O21" s="46"/>
      <c r="P21" s="46"/>
      <c r="Q21" s="46"/>
      <c r="R21" s="46"/>
      <c r="S21" s="47"/>
      <c r="T21" s="45" t="s">
        <v>17</v>
      </c>
      <c r="U21" s="46"/>
      <c r="V21" s="46"/>
      <c r="W21" s="46"/>
      <c r="X21" s="46"/>
      <c r="Y21" s="47"/>
      <c r="Z21" s="19"/>
      <c r="AA21" s="45" t="s">
        <v>14</v>
      </c>
      <c r="AB21" s="46"/>
      <c r="AC21" s="46"/>
      <c r="AD21" s="46"/>
      <c r="AE21" s="46"/>
      <c r="AF21" s="47"/>
      <c r="AG21" s="45" t="s">
        <v>15</v>
      </c>
      <c r="AH21" s="46"/>
      <c r="AI21" s="46"/>
      <c r="AJ21" s="46"/>
      <c r="AK21" s="46"/>
      <c r="AL21" s="47"/>
      <c r="AM21" s="45" t="s">
        <v>16</v>
      </c>
      <c r="AN21" s="46"/>
      <c r="AO21" s="46"/>
      <c r="AP21" s="46"/>
      <c r="AQ21" s="46"/>
      <c r="AR21" s="47"/>
      <c r="AS21" s="45" t="s">
        <v>17</v>
      </c>
      <c r="AT21" s="46"/>
      <c r="AU21" s="46"/>
      <c r="AV21" s="46"/>
      <c r="AW21" s="46"/>
      <c r="AX21" s="47"/>
      <c r="AY21" s="19"/>
    </row>
    <row r="22" ht="17.25" customHeight="1">
      <c r="A22" s="19"/>
      <c r="B22" s="63" t="b">
        <v>0</v>
      </c>
      <c r="C22" s="52"/>
      <c r="D22" s="50"/>
      <c r="E22" s="50"/>
      <c r="F22" s="50"/>
      <c r="G22" s="51"/>
      <c r="H22" s="52"/>
      <c r="I22" s="50"/>
      <c r="J22" s="50"/>
      <c r="K22" s="50"/>
      <c r="L22" s="50"/>
      <c r="M22" s="51"/>
      <c r="N22" s="52"/>
      <c r="O22" s="50"/>
      <c r="P22" s="50"/>
      <c r="Q22" s="50"/>
      <c r="R22" s="50"/>
      <c r="S22" s="51"/>
      <c r="T22" s="52"/>
      <c r="U22" s="50"/>
      <c r="V22" s="50"/>
      <c r="W22" s="50"/>
      <c r="X22" s="50"/>
      <c r="Y22" s="51"/>
      <c r="Z22" s="19"/>
      <c r="AA22" s="63" t="b">
        <v>0</v>
      </c>
      <c r="AB22" s="52"/>
      <c r="AC22" s="50"/>
      <c r="AD22" s="50"/>
      <c r="AE22" s="50"/>
      <c r="AF22" s="51"/>
      <c r="AG22" s="49"/>
      <c r="AH22" s="50"/>
      <c r="AI22" s="50"/>
      <c r="AJ22" s="50"/>
      <c r="AK22" s="50"/>
      <c r="AL22" s="51"/>
      <c r="AM22" s="52"/>
      <c r="AN22" s="50"/>
      <c r="AO22" s="50"/>
      <c r="AP22" s="50"/>
      <c r="AQ22" s="50"/>
      <c r="AR22" s="51"/>
      <c r="AS22" s="52"/>
      <c r="AT22" s="50"/>
      <c r="AU22" s="50"/>
      <c r="AV22" s="50"/>
      <c r="AW22" s="50"/>
      <c r="AX22" s="51"/>
      <c r="AY22" s="19"/>
    </row>
    <row r="23" ht="17.25" customHeight="1">
      <c r="A23" s="19"/>
      <c r="B23" s="64" t="b">
        <v>0</v>
      </c>
      <c r="C23" s="57"/>
      <c r="D23" s="55"/>
      <c r="E23" s="55"/>
      <c r="F23" s="55"/>
      <c r="G23" s="56"/>
      <c r="H23" s="57"/>
      <c r="I23" s="55"/>
      <c r="J23" s="55"/>
      <c r="K23" s="55"/>
      <c r="L23" s="55"/>
      <c r="M23" s="56"/>
      <c r="N23" s="57"/>
      <c r="O23" s="55"/>
      <c r="P23" s="55"/>
      <c r="Q23" s="55"/>
      <c r="R23" s="55"/>
      <c r="S23" s="56"/>
      <c r="T23" s="57"/>
      <c r="U23" s="55"/>
      <c r="V23" s="55"/>
      <c r="W23" s="55"/>
      <c r="X23" s="55"/>
      <c r="Y23" s="56"/>
      <c r="Z23" s="19"/>
      <c r="AA23" s="64" t="b">
        <v>0</v>
      </c>
      <c r="AB23" s="54"/>
      <c r="AC23" s="55"/>
      <c r="AD23" s="55"/>
      <c r="AE23" s="55"/>
      <c r="AF23" s="56"/>
      <c r="AG23" s="57"/>
      <c r="AH23" s="55"/>
      <c r="AI23" s="55"/>
      <c r="AJ23" s="55"/>
      <c r="AK23" s="55"/>
      <c r="AL23" s="56"/>
      <c r="AM23" s="54"/>
      <c r="AN23" s="55"/>
      <c r="AO23" s="55"/>
      <c r="AP23" s="55"/>
      <c r="AQ23" s="55"/>
      <c r="AR23" s="56"/>
      <c r="AS23" s="57"/>
      <c r="AT23" s="55"/>
      <c r="AU23" s="55"/>
      <c r="AV23" s="55"/>
      <c r="AW23" s="55"/>
      <c r="AX23" s="56"/>
      <c r="AY23" s="19"/>
    </row>
    <row r="24" ht="17.25" customHeight="1">
      <c r="A24" s="19"/>
      <c r="B24" s="64" t="b">
        <v>0</v>
      </c>
      <c r="C24" s="57"/>
      <c r="D24" s="55"/>
      <c r="E24" s="55"/>
      <c r="F24" s="55"/>
      <c r="G24" s="56"/>
      <c r="H24" s="57"/>
      <c r="I24" s="55"/>
      <c r="J24" s="55"/>
      <c r="K24" s="55"/>
      <c r="L24" s="55"/>
      <c r="M24" s="56"/>
      <c r="N24" s="57"/>
      <c r="O24" s="55"/>
      <c r="P24" s="55"/>
      <c r="Q24" s="55"/>
      <c r="R24" s="55"/>
      <c r="S24" s="56"/>
      <c r="T24" s="57"/>
      <c r="U24" s="55"/>
      <c r="V24" s="55"/>
      <c r="W24" s="55"/>
      <c r="X24" s="55"/>
      <c r="Y24" s="56"/>
      <c r="Z24" s="19"/>
      <c r="AA24" s="64" t="b">
        <v>0</v>
      </c>
      <c r="AB24" s="54"/>
      <c r="AC24" s="55"/>
      <c r="AD24" s="55"/>
      <c r="AE24" s="55"/>
      <c r="AF24" s="56"/>
      <c r="AG24" s="57"/>
      <c r="AH24" s="55"/>
      <c r="AI24" s="55"/>
      <c r="AJ24" s="55"/>
      <c r="AK24" s="55"/>
      <c r="AL24" s="56"/>
      <c r="AM24" s="57"/>
      <c r="AN24" s="55"/>
      <c r="AO24" s="55"/>
      <c r="AP24" s="55"/>
      <c r="AQ24" s="55"/>
      <c r="AR24" s="56"/>
      <c r="AS24" s="54"/>
      <c r="AT24" s="55"/>
      <c r="AU24" s="55"/>
      <c r="AV24" s="55"/>
      <c r="AW24" s="55"/>
      <c r="AX24" s="56"/>
      <c r="AY24" s="19"/>
    </row>
    <row r="25" ht="17.25" customHeight="1">
      <c r="A25" s="19"/>
      <c r="B25" s="64" t="b">
        <v>0</v>
      </c>
      <c r="C25" s="57"/>
      <c r="D25" s="55"/>
      <c r="E25" s="55"/>
      <c r="F25" s="55"/>
      <c r="G25" s="56"/>
      <c r="H25" s="57"/>
      <c r="I25" s="55"/>
      <c r="J25" s="55"/>
      <c r="K25" s="55"/>
      <c r="L25" s="55"/>
      <c r="M25" s="56"/>
      <c r="N25" s="57"/>
      <c r="O25" s="55"/>
      <c r="P25" s="55"/>
      <c r="Q25" s="55"/>
      <c r="R25" s="55"/>
      <c r="S25" s="56"/>
      <c r="T25" s="57"/>
      <c r="U25" s="55"/>
      <c r="V25" s="55"/>
      <c r="W25" s="55"/>
      <c r="X25" s="55"/>
      <c r="Y25" s="56"/>
      <c r="Z25" s="19"/>
      <c r="AA25" s="64" t="b">
        <v>0</v>
      </c>
      <c r="AB25" s="57"/>
      <c r="AC25" s="55"/>
      <c r="AD25" s="55"/>
      <c r="AE25" s="55"/>
      <c r="AF25" s="56"/>
      <c r="AG25" s="57"/>
      <c r="AH25" s="55"/>
      <c r="AI25" s="55"/>
      <c r="AJ25" s="55"/>
      <c r="AK25" s="55"/>
      <c r="AL25" s="56"/>
      <c r="AM25" s="57"/>
      <c r="AN25" s="55"/>
      <c r="AO25" s="55"/>
      <c r="AP25" s="55"/>
      <c r="AQ25" s="55"/>
      <c r="AR25" s="56"/>
      <c r="AS25" s="57"/>
      <c r="AT25" s="55"/>
      <c r="AU25" s="55"/>
      <c r="AV25" s="55"/>
      <c r="AW25" s="55"/>
      <c r="AX25" s="56"/>
      <c r="AY25" s="19"/>
    </row>
    <row r="26" ht="17.25" customHeight="1">
      <c r="A26" s="19"/>
      <c r="B26" s="64" t="b">
        <v>0</v>
      </c>
      <c r="C26" s="57"/>
      <c r="D26" s="55"/>
      <c r="E26" s="55"/>
      <c r="F26" s="55"/>
      <c r="G26" s="56"/>
      <c r="H26" s="57"/>
      <c r="I26" s="55"/>
      <c r="J26" s="55"/>
      <c r="K26" s="55"/>
      <c r="L26" s="55"/>
      <c r="M26" s="56"/>
      <c r="N26" s="57"/>
      <c r="O26" s="55"/>
      <c r="P26" s="55"/>
      <c r="Q26" s="55"/>
      <c r="R26" s="55"/>
      <c r="S26" s="56"/>
      <c r="T26" s="57"/>
      <c r="U26" s="55"/>
      <c r="V26" s="55"/>
      <c r="W26" s="55"/>
      <c r="X26" s="55"/>
      <c r="Y26" s="56"/>
      <c r="Z26" s="19"/>
      <c r="AA26" s="64" t="b">
        <v>0</v>
      </c>
      <c r="AB26" s="57"/>
      <c r="AC26" s="55"/>
      <c r="AD26" s="55"/>
      <c r="AE26" s="55"/>
      <c r="AF26" s="56"/>
      <c r="AG26" s="57"/>
      <c r="AH26" s="55"/>
      <c r="AI26" s="55"/>
      <c r="AJ26" s="55"/>
      <c r="AK26" s="55"/>
      <c r="AL26" s="56"/>
      <c r="AM26" s="57"/>
      <c r="AN26" s="55"/>
      <c r="AO26" s="55"/>
      <c r="AP26" s="55"/>
      <c r="AQ26" s="55"/>
      <c r="AR26" s="56"/>
      <c r="AS26" s="57"/>
      <c r="AT26" s="55"/>
      <c r="AU26" s="55"/>
      <c r="AV26" s="55"/>
      <c r="AW26" s="55"/>
      <c r="AX26" s="56"/>
      <c r="AY26" s="19"/>
    </row>
    <row r="27" ht="17.25" customHeight="1">
      <c r="A27" s="19"/>
      <c r="B27" s="64" t="b">
        <v>0</v>
      </c>
      <c r="C27" s="57"/>
      <c r="D27" s="55"/>
      <c r="E27" s="55"/>
      <c r="F27" s="55"/>
      <c r="G27" s="56"/>
      <c r="H27" s="57"/>
      <c r="I27" s="55"/>
      <c r="J27" s="55"/>
      <c r="K27" s="55"/>
      <c r="L27" s="55"/>
      <c r="M27" s="56"/>
      <c r="N27" s="57"/>
      <c r="O27" s="55"/>
      <c r="P27" s="55"/>
      <c r="Q27" s="55"/>
      <c r="R27" s="55"/>
      <c r="S27" s="56"/>
      <c r="T27" s="57"/>
      <c r="U27" s="55"/>
      <c r="V27" s="55"/>
      <c r="W27" s="55"/>
      <c r="X27" s="55"/>
      <c r="Y27" s="56"/>
      <c r="Z27" s="19"/>
      <c r="AA27" s="64" t="b">
        <v>0</v>
      </c>
      <c r="AB27" s="57"/>
      <c r="AC27" s="55"/>
      <c r="AD27" s="55"/>
      <c r="AE27" s="55"/>
      <c r="AF27" s="56"/>
      <c r="AG27" s="57"/>
      <c r="AH27" s="55"/>
      <c r="AI27" s="55"/>
      <c r="AJ27" s="55"/>
      <c r="AK27" s="55"/>
      <c r="AL27" s="56"/>
      <c r="AM27" s="57"/>
      <c r="AN27" s="55"/>
      <c r="AO27" s="55"/>
      <c r="AP27" s="55"/>
      <c r="AQ27" s="55"/>
      <c r="AR27" s="56"/>
      <c r="AS27" s="57"/>
      <c r="AT27" s="55"/>
      <c r="AU27" s="55"/>
      <c r="AV27" s="55"/>
      <c r="AW27" s="55"/>
      <c r="AX27" s="56"/>
      <c r="AY27" s="19"/>
    </row>
    <row r="28" ht="17.25" customHeight="1">
      <c r="A28" s="19"/>
      <c r="B28" s="64" t="b">
        <v>0</v>
      </c>
      <c r="C28" s="57"/>
      <c r="D28" s="55"/>
      <c r="E28" s="55"/>
      <c r="F28" s="55"/>
      <c r="G28" s="56"/>
      <c r="H28" s="57"/>
      <c r="I28" s="55"/>
      <c r="J28" s="55"/>
      <c r="K28" s="55"/>
      <c r="L28" s="55"/>
      <c r="M28" s="56"/>
      <c r="N28" s="57"/>
      <c r="O28" s="55"/>
      <c r="P28" s="55"/>
      <c r="Q28" s="55"/>
      <c r="R28" s="55"/>
      <c r="S28" s="56"/>
      <c r="T28" s="57"/>
      <c r="U28" s="55"/>
      <c r="V28" s="55"/>
      <c r="W28" s="55"/>
      <c r="X28" s="55"/>
      <c r="Y28" s="56"/>
      <c r="Z28" s="19"/>
      <c r="AA28" s="64" t="b">
        <v>0</v>
      </c>
      <c r="AB28" s="57"/>
      <c r="AC28" s="55"/>
      <c r="AD28" s="55"/>
      <c r="AE28" s="55"/>
      <c r="AF28" s="56"/>
      <c r="AG28" s="57"/>
      <c r="AH28" s="55"/>
      <c r="AI28" s="55"/>
      <c r="AJ28" s="55"/>
      <c r="AK28" s="55"/>
      <c r="AL28" s="56"/>
      <c r="AM28" s="57"/>
      <c r="AN28" s="55"/>
      <c r="AO28" s="55"/>
      <c r="AP28" s="55"/>
      <c r="AQ28" s="55"/>
      <c r="AR28" s="56"/>
      <c r="AS28" s="57"/>
      <c r="AT28" s="55"/>
      <c r="AU28" s="55"/>
      <c r="AV28" s="55"/>
      <c r="AW28" s="55"/>
      <c r="AX28" s="56"/>
      <c r="AY28" s="19"/>
    </row>
    <row r="29" ht="17.25" customHeight="1">
      <c r="A29" s="19"/>
      <c r="B29" s="65" t="b">
        <v>0</v>
      </c>
      <c r="C29" s="59"/>
      <c r="D29" s="60"/>
      <c r="E29" s="60"/>
      <c r="F29" s="60"/>
      <c r="G29" s="61"/>
      <c r="H29" s="59"/>
      <c r="I29" s="60"/>
      <c r="J29" s="60"/>
      <c r="K29" s="60"/>
      <c r="L29" s="60"/>
      <c r="M29" s="61"/>
      <c r="N29" s="59"/>
      <c r="O29" s="60"/>
      <c r="P29" s="60"/>
      <c r="Q29" s="60"/>
      <c r="R29" s="60"/>
      <c r="S29" s="61"/>
      <c r="T29" s="59"/>
      <c r="U29" s="60"/>
      <c r="V29" s="60"/>
      <c r="W29" s="60"/>
      <c r="X29" s="60"/>
      <c r="Y29" s="61"/>
      <c r="Z29" s="19"/>
      <c r="AA29" s="65" t="b">
        <v>0</v>
      </c>
      <c r="AB29" s="59"/>
      <c r="AC29" s="60"/>
      <c r="AD29" s="60"/>
      <c r="AE29" s="60"/>
      <c r="AF29" s="61"/>
      <c r="AG29" s="59"/>
      <c r="AH29" s="60"/>
      <c r="AI29" s="60"/>
      <c r="AJ29" s="60"/>
      <c r="AK29" s="60"/>
      <c r="AL29" s="61"/>
      <c r="AM29" s="59"/>
      <c r="AN29" s="60"/>
      <c r="AO29" s="60"/>
      <c r="AP29" s="60"/>
      <c r="AQ29" s="60"/>
      <c r="AR29" s="61"/>
      <c r="AS29" s="59"/>
      <c r="AT29" s="60"/>
      <c r="AU29" s="60"/>
      <c r="AV29" s="60"/>
      <c r="AW29" s="60"/>
      <c r="AX29" s="61"/>
      <c r="AY29" s="19"/>
    </row>
    <row r="30" ht="17.2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</row>
    <row r="31" ht="17.25" customHeight="1">
      <c r="A31" s="19"/>
      <c r="B31" s="66" t="s">
        <v>20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42"/>
      <c r="Z31" s="19"/>
      <c r="AA31" s="66" t="s">
        <v>21</v>
      </c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42"/>
      <c r="AY31" s="19"/>
    </row>
    <row r="32" ht="17.25" customHeight="1">
      <c r="A32" s="19"/>
      <c r="B32" s="43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44"/>
      <c r="Z32" s="19"/>
      <c r="AA32" s="43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44"/>
      <c r="AY32" s="19"/>
    </row>
    <row r="33" ht="17.25" customHeight="1">
      <c r="A33" s="19"/>
      <c r="B33" s="45" t="s">
        <v>14</v>
      </c>
      <c r="C33" s="46"/>
      <c r="D33" s="46"/>
      <c r="E33" s="46"/>
      <c r="F33" s="46"/>
      <c r="G33" s="47"/>
      <c r="H33" s="45" t="s">
        <v>15</v>
      </c>
      <c r="I33" s="46"/>
      <c r="J33" s="46"/>
      <c r="K33" s="46"/>
      <c r="L33" s="46"/>
      <c r="M33" s="47"/>
      <c r="N33" s="45" t="s">
        <v>16</v>
      </c>
      <c r="O33" s="46"/>
      <c r="P33" s="46"/>
      <c r="Q33" s="46"/>
      <c r="R33" s="46"/>
      <c r="S33" s="47"/>
      <c r="T33" s="45" t="s">
        <v>17</v>
      </c>
      <c r="U33" s="46"/>
      <c r="V33" s="46"/>
      <c r="W33" s="46"/>
      <c r="X33" s="46"/>
      <c r="Y33" s="47"/>
      <c r="Z33" s="19"/>
      <c r="AA33" s="45" t="s">
        <v>14</v>
      </c>
      <c r="AB33" s="46"/>
      <c r="AC33" s="46"/>
      <c r="AD33" s="46"/>
      <c r="AE33" s="46"/>
      <c r="AF33" s="47"/>
      <c r="AG33" s="45" t="s">
        <v>15</v>
      </c>
      <c r="AH33" s="46"/>
      <c r="AI33" s="46"/>
      <c r="AJ33" s="46"/>
      <c r="AK33" s="46"/>
      <c r="AL33" s="47"/>
      <c r="AM33" s="45" t="s">
        <v>16</v>
      </c>
      <c r="AN33" s="46"/>
      <c r="AO33" s="46"/>
      <c r="AP33" s="46"/>
      <c r="AQ33" s="46"/>
      <c r="AR33" s="47"/>
      <c r="AS33" s="45" t="s">
        <v>17</v>
      </c>
      <c r="AT33" s="46"/>
      <c r="AU33" s="46"/>
      <c r="AV33" s="46"/>
      <c r="AW33" s="46"/>
      <c r="AX33" s="47"/>
      <c r="AY33" s="19"/>
    </row>
    <row r="34" ht="17.25" customHeight="1">
      <c r="A34" s="19"/>
      <c r="B34" s="67" t="b">
        <v>0</v>
      </c>
      <c r="C34" s="52"/>
      <c r="D34" s="50"/>
      <c r="E34" s="50"/>
      <c r="F34" s="50"/>
      <c r="G34" s="51"/>
      <c r="H34" s="52"/>
      <c r="I34" s="50"/>
      <c r="J34" s="50"/>
      <c r="K34" s="50"/>
      <c r="L34" s="50"/>
      <c r="M34" s="51"/>
      <c r="N34" s="52"/>
      <c r="O34" s="50"/>
      <c r="P34" s="50"/>
      <c r="Q34" s="50"/>
      <c r="R34" s="50"/>
      <c r="S34" s="51"/>
      <c r="T34" s="52"/>
      <c r="U34" s="50"/>
      <c r="V34" s="50"/>
      <c r="W34" s="50"/>
      <c r="X34" s="50"/>
      <c r="Y34" s="51"/>
      <c r="Z34" s="19"/>
      <c r="AA34" s="67" t="b">
        <v>0</v>
      </c>
      <c r="AB34" s="52"/>
      <c r="AC34" s="50"/>
      <c r="AD34" s="50"/>
      <c r="AE34" s="50"/>
      <c r="AF34" s="51"/>
      <c r="AG34" s="52"/>
      <c r="AH34" s="50"/>
      <c r="AI34" s="50"/>
      <c r="AJ34" s="50"/>
      <c r="AK34" s="50"/>
      <c r="AL34" s="51"/>
      <c r="AM34" s="52"/>
      <c r="AN34" s="50"/>
      <c r="AO34" s="50"/>
      <c r="AP34" s="50"/>
      <c r="AQ34" s="50"/>
      <c r="AR34" s="51"/>
      <c r="AS34" s="52"/>
      <c r="AT34" s="50"/>
      <c r="AU34" s="50"/>
      <c r="AV34" s="50"/>
      <c r="AW34" s="50"/>
      <c r="AX34" s="51"/>
      <c r="AY34" s="19"/>
    </row>
    <row r="35" ht="17.25" customHeight="1">
      <c r="A35" s="19"/>
      <c r="B35" s="68" t="b">
        <v>0</v>
      </c>
      <c r="C35" s="57"/>
      <c r="D35" s="55"/>
      <c r="E35" s="55"/>
      <c r="F35" s="55"/>
      <c r="G35" s="56"/>
      <c r="H35" s="57"/>
      <c r="I35" s="55"/>
      <c r="J35" s="55"/>
      <c r="K35" s="55"/>
      <c r="L35" s="55"/>
      <c r="M35" s="56"/>
      <c r="N35" s="54"/>
      <c r="O35" s="55"/>
      <c r="P35" s="55"/>
      <c r="Q35" s="55"/>
      <c r="R35" s="55"/>
      <c r="S35" s="56"/>
      <c r="T35" s="57"/>
      <c r="U35" s="55"/>
      <c r="V35" s="55"/>
      <c r="W35" s="55"/>
      <c r="X35" s="55"/>
      <c r="Y35" s="56"/>
      <c r="Z35" s="19"/>
      <c r="AA35" s="68" t="b">
        <v>0</v>
      </c>
      <c r="AB35" s="57"/>
      <c r="AC35" s="55"/>
      <c r="AD35" s="55"/>
      <c r="AE35" s="55"/>
      <c r="AF35" s="56"/>
      <c r="AG35" s="57"/>
      <c r="AH35" s="55"/>
      <c r="AI35" s="55"/>
      <c r="AJ35" s="55"/>
      <c r="AK35" s="55"/>
      <c r="AL35" s="56"/>
      <c r="AM35" s="57"/>
      <c r="AN35" s="55"/>
      <c r="AO35" s="55"/>
      <c r="AP35" s="55"/>
      <c r="AQ35" s="55"/>
      <c r="AR35" s="56"/>
      <c r="AS35" s="57"/>
      <c r="AT35" s="55"/>
      <c r="AU35" s="55"/>
      <c r="AV35" s="55"/>
      <c r="AW35" s="55"/>
      <c r="AX35" s="56"/>
      <c r="AY35" s="19"/>
    </row>
    <row r="36" ht="17.25" customHeight="1">
      <c r="A36" s="19"/>
      <c r="B36" s="68" t="b">
        <v>0</v>
      </c>
      <c r="C36" s="57"/>
      <c r="D36" s="55"/>
      <c r="E36" s="55"/>
      <c r="F36" s="55"/>
      <c r="G36" s="56"/>
      <c r="H36" s="57"/>
      <c r="I36" s="55"/>
      <c r="J36" s="55"/>
      <c r="K36" s="55"/>
      <c r="L36" s="55"/>
      <c r="M36" s="56"/>
      <c r="N36" s="57"/>
      <c r="O36" s="55"/>
      <c r="P36" s="55"/>
      <c r="Q36" s="55"/>
      <c r="R36" s="55"/>
      <c r="S36" s="56"/>
      <c r="T36" s="57"/>
      <c r="U36" s="55"/>
      <c r="V36" s="55"/>
      <c r="W36" s="55"/>
      <c r="X36" s="55"/>
      <c r="Y36" s="56"/>
      <c r="Z36" s="19"/>
      <c r="AA36" s="68" t="b">
        <v>0</v>
      </c>
      <c r="AB36" s="57"/>
      <c r="AC36" s="55"/>
      <c r="AD36" s="55"/>
      <c r="AE36" s="55"/>
      <c r="AF36" s="56"/>
      <c r="AG36" s="57"/>
      <c r="AH36" s="55"/>
      <c r="AI36" s="55"/>
      <c r="AJ36" s="55"/>
      <c r="AK36" s="55"/>
      <c r="AL36" s="56"/>
      <c r="AM36" s="57"/>
      <c r="AN36" s="55"/>
      <c r="AO36" s="55"/>
      <c r="AP36" s="55"/>
      <c r="AQ36" s="55"/>
      <c r="AR36" s="56"/>
      <c r="AS36" s="57"/>
      <c r="AT36" s="55"/>
      <c r="AU36" s="55"/>
      <c r="AV36" s="55"/>
      <c r="AW36" s="55"/>
      <c r="AX36" s="56"/>
      <c r="AY36" s="19"/>
    </row>
    <row r="37" ht="17.25" customHeight="1">
      <c r="A37" s="19"/>
      <c r="B37" s="68" t="b">
        <v>0</v>
      </c>
      <c r="C37" s="57"/>
      <c r="D37" s="55"/>
      <c r="E37" s="55"/>
      <c r="F37" s="55"/>
      <c r="G37" s="56"/>
      <c r="H37" s="57"/>
      <c r="I37" s="55"/>
      <c r="J37" s="55"/>
      <c r="K37" s="55"/>
      <c r="L37" s="55"/>
      <c r="M37" s="56"/>
      <c r="N37" s="57"/>
      <c r="O37" s="55"/>
      <c r="P37" s="55"/>
      <c r="Q37" s="55"/>
      <c r="R37" s="55"/>
      <c r="S37" s="56"/>
      <c r="T37" s="57"/>
      <c r="U37" s="55"/>
      <c r="V37" s="55"/>
      <c r="W37" s="55"/>
      <c r="X37" s="55"/>
      <c r="Y37" s="56"/>
      <c r="Z37" s="19"/>
      <c r="AA37" s="68" t="b">
        <v>0</v>
      </c>
      <c r="AB37" s="57"/>
      <c r="AC37" s="55"/>
      <c r="AD37" s="55"/>
      <c r="AE37" s="55"/>
      <c r="AF37" s="56"/>
      <c r="AG37" s="57"/>
      <c r="AH37" s="55"/>
      <c r="AI37" s="55"/>
      <c r="AJ37" s="55"/>
      <c r="AK37" s="55"/>
      <c r="AL37" s="56"/>
      <c r="AM37" s="57"/>
      <c r="AN37" s="55"/>
      <c r="AO37" s="55"/>
      <c r="AP37" s="55"/>
      <c r="AQ37" s="55"/>
      <c r="AR37" s="56"/>
      <c r="AS37" s="57"/>
      <c r="AT37" s="55"/>
      <c r="AU37" s="55"/>
      <c r="AV37" s="55"/>
      <c r="AW37" s="55"/>
      <c r="AX37" s="56"/>
      <c r="AY37" s="19"/>
    </row>
    <row r="38" ht="17.25" customHeight="1">
      <c r="A38" s="19"/>
      <c r="B38" s="68" t="b">
        <v>0</v>
      </c>
      <c r="C38" s="57"/>
      <c r="D38" s="55"/>
      <c r="E38" s="55"/>
      <c r="F38" s="55"/>
      <c r="G38" s="56"/>
      <c r="H38" s="57"/>
      <c r="I38" s="55"/>
      <c r="J38" s="55"/>
      <c r="K38" s="55"/>
      <c r="L38" s="55"/>
      <c r="M38" s="56"/>
      <c r="N38" s="57"/>
      <c r="O38" s="55"/>
      <c r="P38" s="55"/>
      <c r="Q38" s="55"/>
      <c r="R38" s="55"/>
      <c r="S38" s="56"/>
      <c r="T38" s="57"/>
      <c r="U38" s="55"/>
      <c r="V38" s="55"/>
      <c r="W38" s="55"/>
      <c r="X38" s="55"/>
      <c r="Y38" s="56"/>
      <c r="Z38" s="19"/>
      <c r="AA38" s="68" t="b">
        <v>0</v>
      </c>
      <c r="AB38" s="57"/>
      <c r="AC38" s="55"/>
      <c r="AD38" s="55"/>
      <c r="AE38" s="55"/>
      <c r="AF38" s="56"/>
      <c r="AG38" s="57"/>
      <c r="AH38" s="55"/>
      <c r="AI38" s="55"/>
      <c r="AJ38" s="55"/>
      <c r="AK38" s="55"/>
      <c r="AL38" s="56"/>
      <c r="AM38" s="57"/>
      <c r="AN38" s="55"/>
      <c r="AO38" s="55"/>
      <c r="AP38" s="55"/>
      <c r="AQ38" s="55"/>
      <c r="AR38" s="56"/>
      <c r="AS38" s="57"/>
      <c r="AT38" s="55"/>
      <c r="AU38" s="55"/>
      <c r="AV38" s="55"/>
      <c r="AW38" s="55"/>
      <c r="AX38" s="56"/>
      <c r="AY38" s="19"/>
    </row>
    <row r="39" ht="17.25" customHeight="1">
      <c r="A39" s="19"/>
      <c r="B39" s="68" t="b">
        <v>0</v>
      </c>
      <c r="C39" s="57"/>
      <c r="D39" s="55"/>
      <c r="E39" s="55"/>
      <c r="F39" s="55"/>
      <c r="G39" s="56"/>
      <c r="H39" s="57"/>
      <c r="I39" s="55"/>
      <c r="J39" s="55"/>
      <c r="K39" s="55"/>
      <c r="L39" s="55"/>
      <c r="M39" s="56"/>
      <c r="N39" s="57"/>
      <c r="O39" s="55"/>
      <c r="P39" s="55"/>
      <c r="Q39" s="55"/>
      <c r="R39" s="55"/>
      <c r="S39" s="56"/>
      <c r="T39" s="57"/>
      <c r="U39" s="55"/>
      <c r="V39" s="55"/>
      <c r="W39" s="55"/>
      <c r="X39" s="55"/>
      <c r="Y39" s="56"/>
      <c r="Z39" s="19"/>
      <c r="AA39" s="68" t="b">
        <v>0</v>
      </c>
      <c r="AB39" s="57"/>
      <c r="AC39" s="55"/>
      <c r="AD39" s="55"/>
      <c r="AE39" s="55"/>
      <c r="AF39" s="56"/>
      <c r="AG39" s="57"/>
      <c r="AH39" s="55"/>
      <c r="AI39" s="55"/>
      <c r="AJ39" s="55"/>
      <c r="AK39" s="55"/>
      <c r="AL39" s="56"/>
      <c r="AM39" s="57"/>
      <c r="AN39" s="55"/>
      <c r="AO39" s="55"/>
      <c r="AP39" s="55"/>
      <c r="AQ39" s="55"/>
      <c r="AR39" s="56"/>
      <c r="AS39" s="57"/>
      <c r="AT39" s="55"/>
      <c r="AU39" s="55"/>
      <c r="AV39" s="55"/>
      <c r="AW39" s="55"/>
      <c r="AX39" s="56"/>
      <c r="AY39" s="19"/>
    </row>
    <row r="40" ht="17.25" customHeight="1">
      <c r="A40" s="19"/>
      <c r="B40" s="68" t="b">
        <v>0</v>
      </c>
      <c r="C40" s="57"/>
      <c r="D40" s="55"/>
      <c r="E40" s="55"/>
      <c r="F40" s="55"/>
      <c r="G40" s="56"/>
      <c r="H40" s="57"/>
      <c r="I40" s="55"/>
      <c r="J40" s="55"/>
      <c r="K40" s="55"/>
      <c r="L40" s="55"/>
      <c r="M40" s="56"/>
      <c r="N40" s="57"/>
      <c r="O40" s="55"/>
      <c r="P40" s="55"/>
      <c r="Q40" s="55"/>
      <c r="R40" s="55"/>
      <c r="S40" s="56"/>
      <c r="T40" s="57"/>
      <c r="U40" s="55"/>
      <c r="V40" s="55"/>
      <c r="W40" s="55"/>
      <c r="X40" s="55"/>
      <c r="Y40" s="56"/>
      <c r="Z40" s="19"/>
      <c r="AA40" s="68" t="b">
        <v>0</v>
      </c>
      <c r="AB40" s="57"/>
      <c r="AC40" s="55"/>
      <c r="AD40" s="55"/>
      <c r="AE40" s="55"/>
      <c r="AF40" s="56"/>
      <c r="AG40" s="57"/>
      <c r="AH40" s="55"/>
      <c r="AI40" s="55"/>
      <c r="AJ40" s="55"/>
      <c r="AK40" s="55"/>
      <c r="AL40" s="56"/>
      <c r="AM40" s="57"/>
      <c r="AN40" s="55"/>
      <c r="AO40" s="55"/>
      <c r="AP40" s="55"/>
      <c r="AQ40" s="55"/>
      <c r="AR40" s="56"/>
      <c r="AS40" s="57"/>
      <c r="AT40" s="55"/>
      <c r="AU40" s="55"/>
      <c r="AV40" s="55"/>
      <c r="AW40" s="55"/>
      <c r="AX40" s="56"/>
      <c r="AY40" s="19"/>
    </row>
    <row r="41" ht="17.25" customHeight="1">
      <c r="A41" s="19"/>
      <c r="B41" s="69" t="b">
        <v>0</v>
      </c>
      <c r="C41" s="59"/>
      <c r="D41" s="60"/>
      <c r="E41" s="60"/>
      <c r="F41" s="60"/>
      <c r="G41" s="61"/>
      <c r="H41" s="59"/>
      <c r="I41" s="60"/>
      <c r="J41" s="60"/>
      <c r="K41" s="60"/>
      <c r="L41" s="60"/>
      <c r="M41" s="61"/>
      <c r="N41" s="59"/>
      <c r="O41" s="60"/>
      <c r="P41" s="60"/>
      <c r="Q41" s="60"/>
      <c r="R41" s="60"/>
      <c r="S41" s="61"/>
      <c r="T41" s="59"/>
      <c r="U41" s="60"/>
      <c r="V41" s="60"/>
      <c r="W41" s="60"/>
      <c r="X41" s="60"/>
      <c r="Y41" s="61"/>
      <c r="Z41" s="19"/>
      <c r="AA41" s="69" t="b">
        <v>0</v>
      </c>
      <c r="AB41" s="59"/>
      <c r="AC41" s="60"/>
      <c r="AD41" s="60"/>
      <c r="AE41" s="60"/>
      <c r="AF41" s="61"/>
      <c r="AG41" s="59"/>
      <c r="AH41" s="60"/>
      <c r="AI41" s="60"/>
      <c r="AJ41" s="60"/>
      <c r="AK41" s="60"/>
      <c r="AL41" s="61"/>
      <c r="AM41" s="59"/>
      <c r="AN41" s="60"/>
      <c r="AO41" s="60"/>
      <c r="AP41" s="60"/>
      <c r="AQ41" s="60"/>
      <c r="AR41" s="61"/>
      <c r="AS41" s="59"/>
      <c r="AT41" s="60"/>
      <c r="AU41" s="60"/>
      <c r="AV41" s="60"/>
      <c r="AW41" s="60"/>
      <c r="AX41" s="61"/>
      <c r="AY41" s="19"/>
    </row>
    <row r="42" ht="17.2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</row>
    <row r="43" ht="17.25" customHeight="1">
      <c r="A43" s="19"/>
      <c r="B43" s="70" t="s">
        <v>22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42"/>
      <c r="Z43" s="19"/>
      <c r="AA43" s="70" t="s">
        <v>22</v>
      </c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42"/>
      <c r="AY43" s="19"/>
    </row>
    <row r="44" ht="17.25" customHeight="1">
      <c r="A44" s="19"/>
      <c r="B44" s="43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44"/>
      <c r="Z44" s="19"/>
      <c r="AA44" s="43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44"/>
      <c r="AY44" s="19"/>
    </row>
    <row r="45" ht="17.25" customHeight="1">
      <c r="A45" s="19"/>
      <c r="B45" s="45" t="s">
        <v>14</v>
      </c>
      <c r="C45" s="46"/>
      <c r="D45" s="46"/>
      <c r="E45" s="46"/>
      <c r="F45" s="46"/>
      <c r="G45" s="47"/>
      <c r="H45" s="45" t="s">
        <v>15</v>
      </c>
      <c r="I45" s="46"/>
      <c r="J45" s="46"/>
      <c r="K45" s="46"/>
      <c r="L45" s="46"/>
      <c r="M45" s="47"/>
      <c r="N45" s="45" t="s">
        <v>16</v>
      </c>
      <c r="O45" s="46"/>
      <c r="P45" s="46"/>
      <c r="Q45" s="46"/>
      <c r="R45" s="46"/>
      <c r="S45" s="47"/>
      <c r="T45" s="45" t="s">
        <v>17</v>
      </c>
      <c r="U45" s="46"/>
      <c r="V45" s="46"/>
      <c r="W45" s="46"/>
      <c r="X45" s="46"/>
      <c r="Y45" s="47"/>
      <c r="Z45" s="19"/>
      <c r="AA45" s="45" t="s">
        <v>14</v>
      </c>
      <c r="AB45" s="46"/>
      <c r="AC45" s="46"/>
      <c r="AD45" s="46"/>
      <c r="AE45" s="46"/>
      <c r="AF45" s="47"/>
      <c r="AG45" s="45" t="s">
        <v>15</v>
      </c>
      <c r="AH45" s="46"/>
      <c r="AI45" s="46"/>
      <c r="AJ45" s="46"/>
      <c r="AK45" s="46"/>
      <c r="AL45" s="47"/>
      <c r="AM45" s="45" t="s">
        <v>16</v>
      </c>
      <c r="AN45" s="46"/>
      <c r="AO45" s="46"/>
      <c r="AP45" s="46"/>
      <c r="AQ45" s="46"/>
      <c r="AR45" s="47"/>
      <c r="AS45" s="45" t="s">
        <v>17</v>
      </c>
      <c r="AT45" s="46"/>
      <c r="AU45" s="46"/>
      <c r="AV45" s="46"/>
      <c r="AW45" s="46"/>
      <c r="AX45" s="47"/>
      <c r="AY45" s="19"/>
    </row>
    <row r="46" ht="17.25" customHeight="1">
      <c r="A46" s="19"/>
      <c r="B46" s="71" t="b">
        <v>0</v>
      </c>
      <c r="C46" s="52"/>
      <c r="D46" s="50"/>
      <c r="E46" s="50"/>
      <c r="F46" s="50"/>
      <c r="G46" s="51"/>
      <c r="H46" s="52"/>
      <c r="I46" s="50"/>
      <c r="J46" s="50"/>
      <c r="K46" s="50"/>
      <c r="L46" s="50"/>
      <c r="M46" s="51"/>
      <c r="N46" s="52"/>
      <c r="O46" s="50"/>
      <c r="P46" s="50"/>
      <c r="Q46" s="50"/>
      <c r="R46" s="50"/>
      <c r="S46" s="51"/>
      <c r="T46" s="52"/>
      <c r="U46" s="50"/>
      <c r="V46" s="50"/>
      <c r="W46" s="50"/>
      <c r="X46" s="50"/>
      <c r="Y46" s="51"/>
      <c r="Z46" s="72"/>
      <c r="AA46" s="71" t="b">
        <v>0</v>
      </c>
      <c r="AB46" s="52"/>
      <c r="AC46" s="50"/>
      <c r="AD46" s="50"/>
      <c r="AE46" s="50"/>
      <c r="AF46" s="51"/>
      <c r="AG46" s="52"/>
      <c r="AH46" s="50"/>
      <c r="AI46" s="50"/>
      <c r="AJ46" s="50"/>
      <c r="AK46" s="50"/>
      <c r="AL46" s="51"/>
      <c r="AM46" s="52"/>
      <c r="AN46" s="50"/>
      <c r="AO46" s="50"/>
      <c r="AP46" s="50"/>
      <c r="AQ46" s="50"/>
      <c r="AR46" s="51"/>
      <c r="AS46" s="52"/>
      <c r="AT46" s="50"/>
      <c r="AU46" s="50"/>
      <c r="AV46" s="50"/>
      <c r="AW46" s="50"/>
      <c r="AX46" s="51"/>
      <c r="AY46" s="19"/>
    </row>
    <row r="47" ht="17.25" customHeight="1">
      <c r="A47" s="19"/>
      <c r="B47" s="73" t="b">
        <v>0</v>
      </c>
      <c r="C47" s="57"/>
      <c r="D47" s="55"/>
      <c r="E47" s="55"/>
      <c r="F47" s="55"/>
      <c r="G47" s="56"/>
      <c r="H47" s="57"/>
      <c r="I47" s="55"/>
      <c r="J47" s="55"/>
      <c r="K47" s="55"/>
      <c r="L47" s="55"/>
      <c r="M47" s="56"/>
      <c r="N47" s="57"/>
      <c r="O47" s="55"/>
      <c r="P47" s="55"/>
      <c r="Q47" s="55"/>
      <c r="R47" s="55"/>
      <c r="S47" s="56"/>
      <c r="T47" s="57"/>
      <c r="U47" s="55"/>
      <c r="V47" s="55"/>
      <c r="W47" s="55"/>
      <c r="X47" s="55"/>
      <c r="Y47" s="56"/>
      <c r="Z47" s="72"/>
      <c r="AA47" s="73" t="b">
        <v>0</v>
      </c>
      <c r="AB47" s="57"/>
      <c r="AC47" s="55"/>
      <c r="AD47" s="55"/>
      <c r="AE47" s="55"/>
      <c r="AF47" s="56"/>
      <c r="AG47" s="57"/>
      <c r="AH47" s="55"/>
      <c r="AI47" s="55"/>
      <c r="AJ47" s="55"/>
      <c r="AK47" s="55"/>
      <c r="AL47" s="56"/>
      <c r="AM47" s="57"/>
      <c r="AN47" s="55"/>
      <c r="AO47" s="55"/>
      <c r="AP47" s="55"/>
      <c r="AQ47" s="55"/>
      <c r="AR47" s="56"/>
      <c r="AS47" s="57"/>
      <c r="AT47" s="55"/>
      <c r="AU47" s="55"/>
      <c r="AV47" s="55"/>
      <c r="AW47" s="55"/>
      <c r="AX47" s="56"/>
      <c r="AY47" s="19"/>
    </row>
    <row r="48" ht="17.25" customHeight="1">
      <c r="A48" s="19"/>
      <c r="B48" s="73" t="b">
        <v>0</v>
      </c>
      <c r="C48" s="57"/>
      <c r="D48" s="55"/>
      <c r="E48" s="55"/>
      <c r="F48" s="55"/>
      <c r="G48" s="56"/>
      <c r="H48" s="57"/>
      <c r="I48" s="55"/>
      <c r="J48" s="55"/>
      <c r="K48" s="55"/>
      <c r="L48" s="55"/>
      <c r="M48" s="56"/>
      <c r="N48" s="57"/>
      <c r="O48" s="55"/>
      <c r="P48" s="55"/>
      <c r="Q48" s="55"/>
      <c r="R48" s="55"/>
      <c r="S48" s="56"/>
      <c r="T48" s="57"/>
      <c r="U48" s="55"/>
      <c r="V48" s="55"/>
      <c r="W48" s="55"/>
      <c r="X48" s="55"/>
      <c r="Y48" s="56"/>
      <c r="Z48" s="19"/>
      <c r="AA48" s="73" t="b">
        <v>0</v>
      </c>
      <c r="AB48" s="57"/>
      <c r="AC48" s="55"/>
      <c r="AD48" s="55"/>
      <c r="AE48" s="55"/>
      <c r="AF48" s="56"/>
      <c r="AG48" s="57"/>
      <c r="AH48" s="55"/>
      <c r="AI48" s="55"/>
      <c r="AJ48" s="55"/>
      <c r="AK48" s="55"/>
      <c r="AL48" s="56"/>
      <c r="AM48" s="57"/>
      <c r="AN48" s="55"/>
      <c r="AO48" s="55"/>
      <c r="AP48" s="55"/>
      <c r="AQ48" s="55"/>
      <c r="AR48" s="56"/>
      <c r="AS48" s="57"/>
      <c r="AT48" s="55"/>
      <c r="AU48" s="55"/>
      <c r="AV48" s="55"/>
      <c r="AW48" s="55"/>
      <c r="AX48" s="56"/>
      <c r="AY48" s="19"/>
    </row>
    <row r="49" ht="17.25" customHeight="1">
      <c r="A49" s="19"/>
      <c r="B49" s="73" t="b">
        <v>0</v>
      </c>
      <c r="C49" s="57"/>
      <c r="D49" s="55"/>
      <c r="E49" s="55"/>
      <c r="F49" s="55"/>
      <c r="G49" s="56"/>
      <c r="H49" s="57"/>
      <c r="I49" s="55"/>
      <c r="J49" s="55"/>
      <c r="K49" s="55"/>
      <c r="L49" s="55"/>
      <c r="M49" s="56"/>
      <c r="N49" s="57"/>
      <c r="O49" s="55"/>
      <c r="P49" s="55"/>
      <c r="Q49" s="55"/>
      <c r="R49" s="55"/>
      <c r="S49" s="56"/>
      <c r="T49" s="57"/>
      <c r="U49" s="55"/>
      <c r="V49" s="55"/>
      <c r="W49" s="55"/>
      <c r="X49" s="55"/>
      <c r="Y49" s="56"/>
      <c r="Z49" s="19"/>
      <c r="AA49" s="73" t="b">
        <v>0</v>
      </c>
      <c r="AB49" s="57"/>
      <c r="AC49" s="55"/>
      <c r="AD49" s="55"/>
      <c r="AE49" s="55"/>
      <c r="AF49" s="56"/>
      <c r="AG49" s="57"/>
      <c r="AH49" s="55"/>
      <c r="AI49" s="55"/>
      <c r="AJ49" s="55"/>
      <c r="AK49" s="55"/>
      <c r="AL49" s="56"/>
      <c r="AM49" s="57"/>
      <c r="AN49" s="55"/>
      <c r="AO49" s="55"/>
      <c r="AP49" s="55"/>
      <c r="AQ49" s="55"/>
      <c r="AR49" s="56"/>
      <c r="AS49" s="57"/>
      <c r="AT49" s="55"/>
      <c r="AU49" s="55"/>
      <c r="AV49" s="55"/>
      <c r="AW49" s="55"/>
      <c r="AX49" s="56"/>
      <c r="AY49" s="19"/>
    </row>
    <row r="50" ht="17.25" customHeight="1">
      <c r="A50" s="19"/>
      <c r="B50" s="73" t="b">
        <v>0</v>
      </c>
      <c r="C50" s="57"/>
      <c r="D50" s="55"/>
      <c r="E50" s="55"/>
      <c r="F50" s="55"/>
      <c r="G50" s="56"/>
      <c r="H50" s="57"/>
      <c r="I50" s="55"/>
      <c r="J50" s="55"/>
      <c r="K50" s="55"/>
      <c r="L50" s="55"/>
      <c r="M50" s="56"/>
      <c r="N50" s="57"/>
      <c r="O50" s="55"/>
      <c r="P50" s="55"/>
      <c r="Q50" s="55"/>
      <c r="R50" s="55"/>
      <c r="S50" s="56"/>
      <c r="T50" s="57"/>
      <c r="U50" s="55"/>
      <c r="V50" s="55"/>
      <c r="W50" s="55"/>
      <c r="X50" s="55"/>
      <c r="Y50" s="56"/>
      <c r="Z50" s="19"/>
      <c r="AA50" s="73" t="b">
        <v>0</v>
      </c>
      <c r="AB50" s="57"/>
      <c r="AC50" s="55"/>
      <c r="AD50" s="55"/>
      <c r="AE50" s="55"/>
      <c r="AF50" s="56"/>
      <c r="AG50" s="57"/>
      <c r="AH50" s="55"/>
      <c r="AI50" s="55"/>
      <c r="AJ50" s="55"/>
      <c r="AK50" s="55"/>
      <c r="AL50" s="56"/>
      <c r="AM50" s="57"/>
      <c r="AN50" s="55"/>
      <c r="AO50" s="55"/>
      <c r="AP50" s="55"/>
      <c r="AQ50" s="55"/>
      <c r="AR50" s="56"/>
      <c r="AS50" s="57"/>
      <c r="AT50" s="55"/>
      <c r="AU50" s="55"/>
      <c r="AV50" s="55"/>
      <c r="AW50" s="55"/>
      <c r="AX50" s="56"/>
      <c r="AY50" s="19"/>
    </row>
    <row r="51" ht="17.25" customHeight="1">
      <c r="A51" s="19"/>
      <c r="B51" s="73" t="b">
        <v>0</v>
      </c>
      <c r="C51" s="57"/>
      <c r="D51" s="55"/>
      <c r="E51" s="55"/>
      <c r="F51" s="55"/>
      <c r="G51" s="56"/>
      <c r="H51" s="57"/>
      <c r="I51" s="55"/>
      <c r="J51" s="55"/>
      <c r="K51" s="55"/>
      <c r="L51" s="55"/>
      <c r="M51" s="56"/>
      <c r="N51" s="57"/>
      <c r="O51" s="55"/>
      <c r="P51" s="55"/>
      <c r="Q51" s="55"/>
      <c r="R51" s="55"/>
      <c r="S51" s="56"/>
      <c r="T51" s="57"/>
      <c r="U51" s="55"/>
      <c r="V51" s="55"/>
      <c r="W51" s="55"/>
      <c r="X51" s="55"/>
      <c r="Y51" s="56"/>
      <c r="Z51" s="19"/>
      <c r="AA51" s="73" t="b">
        <v>0</v>
      </c>
      <c r="AB51" s="57"/>
      <c r="AC51" s="55"/>
      <c r="AD51" s="55"/>
      <c r="AE51" s="55"/>
      <c r="AF51" s="56"/>
      <c r="AG51" s="57"/>
      <c r="AH51" s="55"/>
      <c r="AI51" s="55"/>
      <c r="AJ51" s="55"/>
      <c r="AK51" s="55"/>
      <c r="AL51" s="56"/>
      <c r="AM51" s="57"/>
      <c r="AN51" s="55"/>
      <c r="AO51" s="55"/>
      <c r="AP51" s="55"/>
      <c r="AQ51" s="55"/>
      <c r="AR51" s="56"/>
      <c r="AS51" s="57"/>
      <c r="AT51" s="55"/>
      <c r="AU51" s="55"/>
      <c r="AV51" s="55"/>
      <c r="AW51" s="55"/>
      <c r="AX51" s="56"/>
      <c r="AY51" s="19"/>
    </row>
    <row r="52" ht="17.25" customHeight="1">
      <c r="A52" s="19"/>
      <c r="B52" s="73" t="b">
        <v>0</v>
      </c>
      <c r="C52" s="57"/>
      <c r="D52" s="55"/>
      <c r="E52" s="55"/>
      <c r="F52" s="55"/>
      <c r="G52" s="56"/>
      <c r="H52" s="57"/>
      <c r="I52" s="55"/>
      <c r="J52" s="55"/>
      <c r="K52" s="55"/>
      <c r="L52" s="55"/>
      <c r="M52" s="56"/>
      <c r="N52" s="57"/>
      <c r="O52" s="55"/>
      <c r="P52" s="55"/>
      <c r="Q52" s="55"/>
      <c r="R52" s="55"/>
      <c r="S52" s="56"/>
      <c r="T52" s="57"/>
      <c r="U52" s="55"/>
      <c r="V52" s="55"/>
      <c r="W52" s="55"/>
      <c r="X52" s="55"/>
      <c r="Y52" s="56"/>
      <c r="Z52" s="19"/>
      <c r="AA52" s="73" t="b">
        <v>0</v>
      </c>
      <c r="AB52" s="57"/>
      <c r="AC52" s="55"/>
      <c r="AD52" s="55"/>
      <c r="AE52" s="55"/>
      <c r="AF52" s="56"/>
      <c r="AG52" s="57"/>
      <c r="AH52" s="55"/>
      <c r="AI52" s="55"/>
      <c r="AJ52" s="55"/>
      <c r="AK52" s="55"/>
      <c r="AL52" s="56"/>
      <c r="AM52" s="57"/>
      <c r="AN52" s="55"/>
      <c r="AO52" s="55"/>
      <c r="AP52" s="55"/>
      <c r="AQ52" s="55"/>
      <c r="AR52" s="56"/>
      <c r="AS52" s="57"/>
      <c r="AT52" s="55"/>
      <c r="AU52" s="55"/>
      <c r="AV52" s="55"/>
      <c r="AW52" s="55"/>
      <c r="AX52" s="56"/>
      <c r="AY52" s="19"/>
    </row>
    <row r="53" ht="17.25" customHeight="1">
      <c r="A53" s="19"/>
      <c r="B53" s="74" t="b">
        <v>0</v>
      </c>
      <c r="C53" s="59"/>
      <c r="D53" s="60"/>
      <c r="E53" s="60"/>
      <c r="F53" s="60"/>
      <c r="G53" s="61"/>
      <c r="H53" s="59"/>
      <c r="I53" s="60"/>
      <c r="J53" s="60"/>
      <c r="K53" s="60"/>
      <c r="L53" s="60"/>
      <c r="M53" s="61"/>
      <c r="N53" s="59"/>
      <c r="O53" s="60"/>
      <c r="P53" s="60"/>
      <c r="Q53" s="60"/>
      <c r="R53" s="60"/>
      <c r="S53" s="61"/>
      <c r="T53" s="59"/>
      <c r="U53" s="60"/>
      <c r="V53" s="60"/>
      <c r="W53" s="60"/>
      <c r="X53" s="60"/>
      <c r="Y53" s="61"/>
      <c r="Z53" s="19"/>
      <c r="AA53" s="74" t="b">
        <v>0</v>
      </c>
      <c r="AB53" s="59"/>
      <c r="AC53" s="60"/>
      <c r="AD53" s="60"/>
      <c r="AE53" s="60"/>
      <c r="AF53" s="61"/>
      <c r="AG53" s="59"/>
      <c r="AH53" s="60"/>
      <c r="AI53" s="60"/>
      <c r="AJ53" s="60"/>
      <c r="AK53" s="60"/>
      <c r="AL53" s="61"/>
      <c r="AM53" s="59"/>
      <c r="AN53" s="60"/>
      <c r="AO53" s="60"/>
      <c r="AP53" s="60"/>
      <c r="AQ53" s="60"/>
      <c r="AR53" s="61"/>
      <c r="AS53" s="59"/>
      <c r="AT53" s="60"/>
      <c r="AU53" s="60"/>
      <c r="AV53" s="60"/>
      <c r="AW53" s="60"/>
      <c r="AX53" s="61"/>
      <c r="AY53" s="19"/>
    </row>
    <row r="54" ht="17.2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</row>
  </sheetData>
  <mergeCells count="305">
    <mergeCell ref="AG21:AL21"/>
    <mergeCell ref="AM21:AR21"/>
    <mergeCell ref="B19:Y20"/>
    <mergeCell ref="AA19:AX20"/>
    <mergeCell ref="H21:M21"/>
    <mergeCell ref="N21:S21"/>
    <mergeCell ref="T21:Y21"/>
    <mergeCell ref="AA21:AF21"/>
    <mergeCell ref="AS21:AX21"/>
    <mergeCell ref="H12:M12"/>
    <mergeCell ref="N12:S12"/>
    <mergeCell ref="T12:Y12"/>
    <mergeCell ref="AB12:AF12"/>
    <mergeCell ref="AG12:AL12"/>
    <mergeCell ref="AM12:AR12"/>
    <mergeCell ref="AS12:AX12"/>
    <mergeCell ref="C12:G12"/>
    <mergeCell ref="C13:G13"/>
    <mergeCell ref="H13:M13"/>
    <mergeCell ref="N13:S13"/>
    <mergeCell ref="T13:Y13"/>
    <mergeCell ref="AB13:AF13"/>
    <mergeCell ref="AG13:AL13"/>
    <mergeCell ref="H14:M14"/>
    <mergeCell ref="N14:S14"/>
    <mergeCell ref="T14:Y14"/>
    <mergeCell ref="AB14:AF14"/>
    <mergeCell ref="AG14:AL14"/>
    <mergeCell ref="AM14:AR14"/>
    <mergeCell ref="AS14:AX14"/>
    <mergeCell ref="AM15:AR15"/>
    <mergeCell ref="AS15:AX15"/>
    <mergeCell ref="C14:G14"/>
    <mergeCell ref="C15:G15"/>
    <mergeCell ref="H15:M15"/>
    <mergeCell ref="N15:S15"/>
    <mergeCell ref="T15:Y15"/>
    <mergeCell ref="AB15:AF15"/>
    <mergeCell ref="AG15:AL15"/>
    <mergeCell ref="AM17:AR17"/>
    <mergeCell ref="AS17:AX17"/>
    <mergeCell ref="AM28:AR28"/>
    <mergeCell ref="AS28:AX28"/>
    <mergeCell ref="H38:M38"/>
    <mergeCell ref="N38:S38"/>
    <mergeCell ref="T38:Y38"/>
    <mergeCell ref="AB38:AF38"/>
    <mergeCell ref="AG38:AL38"/>
    <mergeCell ref="AM38:AR38"/>
    <mergeCell ref="AS38:AX38"/>
    <mergeCell ref="C38:G38"/>
    <mergeCell ref="C39:G39"/>
    <mergeCell ref="H39:M39"/>
    <mergeCell ref="N39:S39"/>
    <mergeCell ref="T39:Y39"/>
    <mergeCell ref="AB39:AF39"/>
    <mergeCell ref="AG39:AL39"/>
    <mergeCell ref="H34:M34"/>
    <mergeCell ref="N34:S34"/>
    <mergeCell ref="T34:Y34"/>
    <mergeCell ref="AB34:AF34"/>
    <mergeCell ref="AG34:AL34"/>
    <mergeCell ref="AM34:AR34"/>
    <mergeCell ref="AS34:AX34"/>
    <mergeCell ref="C34:G34"/>
    <mergeCell ref="C35:G35"/>
    <mergeCell ref="H35:M35"/>
    <mergeCell ref="N35:S35"/>
    <mergeCell ref="T35:Y35"/>
    <mergeCell ref="AB35:AF35"/>
    <mergeCell ref="AG35:AL35"/>
    <mergeCell ref="H36:M36"/>
    <mergeCell ref="N36:S36"/>
    <mergeCell ref="T36:Y36"/>
    <mergeCell ref="AB36:AF36"/>
    <mergeCell ref="AG36:AL36"/>
    <mergeCell ref="AM36:AR36"/>
    <mergeCell ref="AS36:AX36"/>
    <mergeCell ref="AM37:AR37"/>
    <mergeCell ref="AS37:AX37"/>
    <mergeCell ref="C36:G36"/>
    <mergeCell ref="C37:G37"/>
    <mergeCell ref="H37:M37"/>
    <mergeCell ref="N37:S37"/>
    <mergeCell ref="T37:Y37"/>
    <mergeCell ref="AB37:AF37"/>
    <mergeCell ref="AG37:AL37"/>
    <mergeCell ref="AM39:AR39"/>
    <mergeCell ref="AS39:AX39"/>
    <mergeCell ref="AM41:AR41"/>
    <mergeCell ref="AS41:AX41"/>
    <mergeCell ref="H40:M40"/>
    <mergeCell ref="N40:S40"/>
    <mergeCell ref="T40:Y40"/>
    <mergeCell ref="AB40:AF40"/>
    <mergeCell ref="AG40:AL40"/>
    <mergeCell ref="AM40:AR40"/>
    <mergeCell ref="AS40:AX40"/>
    <mergeCell ref="C40:G40"/>
    <mergeCell ref="C41:G41"/>
    <mergeCell ref="H41:M41"/>
    <mergeCell ref="N41:S41"/>
    <mergeCell ref="T41:Y41"/>
    <mergeCell ref="AB41:AF41"/>
    <mergeCell ref="AG41:AL41"/>
    <mergeCell ref="AG45:AL45"/>
    <mergeCell ref="AM45:AR45"/>
    <mergeCell ref="B43:Y44"/>
    <mergeCell ref="AA43:AX44"/>
    <mergeCell ref="H45:M45"/>
    <mergeCell ref="N45:S45"/>
    <mergeCell ref="T45:Y45"/>
    <mergeCell ref="AA45:AF45"/>
    <mergeCell ref="AS45:AX45"/>
    <mergeCell ref="AM46:AR46"/>
    <mergeCell ref="AS46:AX46"/>
    <mergeCell ref="B45:G45"/>
    <mergeCell ref="C46:G46"/>
    <mergeCell ref="H46:M46"/>
    <mergeCell ref="N46:S46"/>
    <mergeCell ref="T46:Y46"/>
    <mergeCell ref="AB46:AF46"/>
    <mergeCell ref="AG46:AL46"/>
    <mergeCell ref="AM48:AR48"/>
    <mergeCell ref="AS48:AX48"/>
    <mergeCell ref="H51:M51"/>
    <mergeCell ref="N51:S51"/>
    <mergeCell ref="T51:Y51"/>
    <mergeCell ref="AB51:AF51"/>
    <mergeCell ref="AG51:AL51"/>
    <mergeCell ref="AM51:AR51"/>
    <mergeCell ref="AS51:AX51"/>
    <mergeCell ref="C51:G51"/>
    <mergeCell ref="C52:G52"/>
    <mergeCell ref="H52:M52"/>
    <mergeCell ref="N52:S52"/>
    <mergeCell ref="T52:Y52"/>
    <mergeCell ref="AB52:AF52"/>
    <mergeCell ref="AG52:AL52"/>
    <mergeCell ref="H47:M47"/>
    <mergeCell ref="N47:S47"/>
    <mergeCell ref="T47:Y47"/>
    <mergeCell ref="AB47:AF47"/>
    <mergeCell ref="AG47:AL47"/>
    <mergeCell ref="AM47:AR47"/>
    <mergeCell ref="AS47:AX47"/>
    <mergeCell ref="C47:G47"/>
    <mergeCell ref="C48:G48"/>
    <mergeCell ref="H48:M48"/>
    <mergeCell ref="N48:S48"/>
    <mergeCell ref="T48:Y48"/>
    <mergeCell ref="AB48:AF48"/>
    <mergeCell ref="AG48:AL48"/>
    <mergeCell ref="H49:M49"/>
    <mergeCell ref="N49:S49"/>
    <mergeCell ref="T49:Y49"/>
    <mergeCell ref="AB49:AF49"/>
    <mergeCell ref="AG49:AL49"/>
    <mergeCell ref="AM49:AR49"/>
    <mergeCell ref="AS49:AX49"/>
    <mergeCell ref="AM50:AR50"/>
    <mergeCell ref="AS50:AX50"/>
    <mergeCell ref="C49:G49"/>
    <mergeCell ref="C50:G50"/>
    <mergeCell ref="H50:M50"/>
    <mergeCell ref="N50:S50"/>
    <mergeCell ref="T50:Y50"/>
    <mergeCell ref="AB50:AF50"/>
    <mergeCell ref="AG50:AL50"/>
    <mergeCell ref="AM52:AR52"/>
    <mergeCell ref="AS52:AX52"/>
    <mergeCell ref="C53:G53"/>
    <mergeCell ref="H53:M53"/>
    <mergeCell ref="N53:S53"/>
    <mergeCell ref="T53:Y53"/>
    <mergeCell ref="AB53:AF53"/>
    <mergeCell ref="AG53:AL53"/>
    <mergeCell ref="AM53:AR53"/>
    <mergeCell ref="AS53:AX53"/>
    <mergeCell ref="B7:Y8"/>
    <mergeCell ref="AA7:AX8"/>
    <mergeCell ref="AA9:AF9"/>
    <mergeCell ref="AG9:AL9"/>
    <mergeCell ref="AM9:AR9"/>
    <mergeCell ref="AS9:AX9"/>
    <mergeCell ref="B2:H2"/>
    <mergeCell ref="C3:C4"/>
    <mergeCell ref="N3:N4"/>
    <mergeCell ref="P3:T3"/>
    <mergeCell ref="U3:Z3"/>
    <mergeCell ref="P4:T4"/>
    <mergeCell ref="U4:Z4"/>
    <mergeCell ref="H10:M10"/>
    <mergeCell ref="N10:S10"/>
    <mergeCell ref="AB10:AF10"/>
    <mergeCell ref="AG10:AL10"/>
    <mergeCell ref="AM10:AR10"/>
    <mergeCell ref="AS10:AX10"/>
    <mergeCell ref="D3:M4"/>
    <mergeCell ref="B5:H5"/>
    <mergeCell ref="B9:G9"/>
    <mergeCell ref="H9:M9"/>
    <mergeCell ref="N9:S9"/>
    <mergeCell ref="T9:Y9"/>
    <mergeCell ref="T10:Y10"/>
    <mergeCell ref="AM11:AR11"/>
    <mergeCell ref="AS11:AX11"/>
    <mergeCell ref="C10:G10"/>
    <mergeCell ref="C11:G11"/>
    <mergeCell ref="H11:M11"/>
    <mergeCell ref="N11:S11"/>
    <mergeCell ref="T11:Y11"/>
    <mergeCell ref="AB11:AF11"/>
    <mergeCell ref="AG11:AL11"/>
    <mergeCell ref="AM13:AR13"/>
    <mergeCell ref="AS13:AX13"/>
    <mergeCell ref="H16:M16"/>
    <mergeCell ref="N16:S16"/>
    <mergeCell ref="T16:Y16"/>
    <mergeCell ref="AB16:AF16"/>
    <mergeCell ref="AG16:AL16"/>
    <mergeCell ref="AM16:AR16"/>
    <mergeCell ref="AS16:AX16"/>
    <mergeCell ref="C16:G16"/>
    <mergeCell ref="C17:G17"/>
    <mergeCell ref="H17:M17"/>
    <mergeCell ref="N17:S17"/>
    <mergeCell ref="T17:Y17"/>
    <mergeCell ref="AB17:AF17"/>
    <mergeCell ref="AG17:AL17"/>
    <mergeCell ref="AM22:AR22"/>
    <mergeCell ref="AS22:AX22"/>
    <mergeCell ref="B21:G21"/>
    <mergeCell ref="C22:G22"/>
    <mergeCell ref="H22:M22"/>
    <mergeCell ref="N22:S22"/>
    <mergeCell ref="T22:Y22"/>
    <mergeCell ref="AB22:AF22"/>
    <mergeCell ref="AG22:AL22"/>
    <mergeCell ref="H23:M23"/>
    <mergeCell ref="N23:S23"/>
    <mergeCell ref="T23:Y23"/>
    <mergeCell ref="AB23:AF23"/>
    <mergeCell ref="AG23:AL23"/>
    <mergeCell ref="AM23:AR23"/>
    <mergeCell ref="AS23:AX23"/>
    <mergeCell ref="C23:G23"/>
    <mergeCell ref="C24:G24"/>
    <mergeCell ref="H24:M24"/>
    <mergeCell ref="N24:S24"/>
    <mergeCell ref="T24:Y24"/>
    <mergeCell ref="AB24:AF24"/>
    <mergeCell ref="AG24:AL24"/>
    <mergeCell ref="AG25:AL25"/>
    <mergeCell ref="AM25:AR25"/>
    <mergeCell ref="AM24:AR24"/>
    <mergeCell ref="AS24:AX24"/>
    <mergeCell ref="H25:M25"/>
    <mergeCell ref="N25:S25"/>
    <mergeCell ref="T25:Y25"/>
    <mergeCell ref="AB25:AF25"/>
    <mergeCell ref="AS25:AX25"/>
    <mergeCell ref="AM26:AR26"/>
    <mergeCell ref="AS26:AX26"/>
    <mergeCell ref="C25:G25"/>
    <mergeCell ref="C26:G26"/>
    <mergeCell ref="H26:M26"/>
    <mergeCell ref="N26:S26"/>
    <mergeCell ref="T26:Y26"/>
    <mergeCell ref="AB26:AF26"/>
    <mergeCell ref="AG26:AL26"/>
    <mergeCell ref="H27:M27"/>
    <mergeCell ref="N27:S27"/>
    <mergeCell ref="T27:Y27"/>
    <mergeCell ref="AB27:AF27"/>
    <mergeCell ref="AG27:AL27"/>
    <mergeCell ref="AM27:AR27"/>
    <mergeCell ref="AS27:AX27"/>
    <mergeCell ref="C27:G27"/>
    <mergeCell ref="C28:G28"/>
    <mergeCell ref="H28:M28"/>
    <mergeCell ref="N28:S28"/>
    <mergeCell ref="T28:Y28"/>
    <mergeCell ref="AB28:AF28"/>
    <mergeCell ref="AG28:AL28"/>
    <mergeCell ref="C29:G29"/>
    <mergeCell ref="H29:M29"/>
    <mergeCell ref="N29:S29"/>
    <mergeCell ref="AB29:AF29"/>
    <mergeCell ref="AG29:AL29"/>
    <mergeCell ref="AM29:AR29"/>
    <mergeCell ref="AS29:AX29"/>
    <mergeCell ref="AA33:AF33"/>
    <mergeCell ref="AG33:AL33"/>
    <mergeCell ref="AM33:AR33"/>
    <mergeCell ref="AS33:AX33"/>
    <mergeCell ref="T29:Y29"/>
    <mergeCell ref="B31:Y32"/>
    <mergeCell ref="AA31:AX32"/>
    <mergeCell ref="B33:G33"/>
    <mergeCell ref="H33:M33"/>
    <mergeCell ref="N33:S33"/>
    <mergeCell ref="T33:Y33"/>
    <mergeCell ref="AM35:AR35"/>
    <mergeCell ref="AS35:AX3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5"/>
    <col customWidth="1" min="2" max="3" width="8.88"/>
    <col customWidth="1" min="4" max="6" width="7.63"/>
    <col customWidth="1" min="7" max="7" width="11.13"/>
    <col customWidth="1" min="8" max="9" width="8.88"/>
    <col customWidth="1" min="10" max="12" width="7.63"/>
    <col customWidth="1" min="13" max="13" width="11.13"/>
    <col customWidth="1" min="14" max="15" width="8.88"/>
    <col customWidth="1" min="16" max="18" width="7.63"/>
    <col customWidth="1" min="19" max="19" width="4.13"/>
  </cols>
  <sheetData>
    <row r="1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</row>
    <row r="2">
      <c r="A2" s="19"/>
      <c r="B2" s="75"/>
      <c r="C2" s="76"/>
      <c r="D2" s="21"/>
      <c r="E2" s="21"/>
      <c r="F2" s="21"/>
      <c r="G2" s="21"/>
      <c r="H2" s="76"/>
      <c r="I2" s="76"/>
      <c r="J2" s="76"/>
      <c r="K2" s="76"/>
      <c r="L2" s="76"/>
      <c r="M2" s="76"/>
      <c r="N2" s="76"/>
      <c r="O2" s="76"/>
      <c r="P2" s="76"/>
      <c r="Q2" s="76"/>
      <c r="R2" s="77"/>
      <c r="S2" s="19"/>
    </row>
    <row r="3">
      <c r="A3" s="19"/>
      <c r="B3" s="78" t="s">
        <v>7</v>
      </c>
      <c r="C3" s="79" t="s">
        <v>23</v>
      </c>
      <c r="F3" s="80" t="s">
        <v>9</v>
      </c>
      <c r="G3" s="81"/>
      <c r="H3" s="82"/>
      <c r="I3" s="82"/>
      <c r="J3" s="82"/>
      <c r="K3" s="82"/>
      <c r="L3" s="82"/>
      <c r="M3" s="82"/>
      <c r="N3" s="82"/>
      <c r="O3" s="82"/>
      <c r="P3" s="83" t="s">
        <v>24</v>
      </c>
      <c r="Q3" s="83">
        <v>2025.0</v>
      </c>
      <c r="R3" s="84"/>
      <c r="S3" s="19"/>
    </row>
    <row r="4">
      <c r="A4" s="19"/>
      <c r="B4" s="85"/>
      <c r="G4" s="81"/>
      <c r="H4" s="82"/>
      <c r="I4" s="82"/>
      <c r="J4" s="82"/>
      <c r="K4" s="82"/>
      <c r="L4" s="82"/>
      <c r="M4" s="82"/>
      <c r="N4" s="82"/>
      <c r="O4" s="82"/>
      <c r="P4" s="86"/>
      <c r="Q4" s="86"/>
      <c r="R4" s="84"/>
      <c r="S4" s="19"/>
    </row>
    <row r="5">
      <c r="A5" s="19"/>
      <c r="B5" s="87"/>
      <c r="C5" s="88"/>
      <c r="D5" s="37"/>
      <c r="E5" s="37"/>
      <c r="F5" s="37"/>
      <c r="G5" s="37"/>
      <c r="H5" s="88"/>
      <c r="I5" s="88"/>
      <c r="J5" s="88"/>
      <c r="K5" s="88"/>
      <c r="L5" s="88"/>
      <c r="M5" s="88"/>
      <c r="N5" s="88"/>
      <c r="O5" s="88"/>
      <c r="P5" s="88"/>
      <c r="Q5" s="88"/>
      <c r="R5" s="89"/>
      <c r="S5" s="19"/>
    </row>
    <row r="6">
      <c r="A6" s="90"/>
      <c r="B6" s="90"/>
      <c r="C6" s="90"/>
      <c r="D6" s="90"/>
      <c r="E6" s="90"/>
      <c r="F6" s="90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</row>
    <row r="7">
      <c r="A7" s="90"/>
      <c r="B7" s="90"/>
      <c r="C7" s="90"/>
      <c r="D7" s="90"/>
      <c r="E7" s="90"/>
      <c r="F7" s="90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</row>
    <row r="8">
      <c r="A8" s="90"/>
      <c r="B8" s="90"/>
      <c r="C8" s="90"/>
      <c r="D8" s="90"/>
      <c r="E8" s="90"/>
      <c r="F8" s="90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</row>
    <row r="9">
      <c r="A9" s="90"/>
      <c r="B9" s="91" t="s">
        <v>25</v>
      </c>
      <c r="C9" s="92" t="s">
        <v>26</v>
      </c>
      <c r="D9" s="90"/>
      <c r="E9" s="90"/>
      <c r="F9" s="90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</row>
    <row r="10">
      <c r="A10" s="90"/>
      <c r="B10" s="93" t="s">
        <v>27</v>
      </c>
      <c r="C10" s="94">
        <f>D29</f>
        <v>0.06801007557</v>
      </c>
      <c r="D10" s="90"/>
      <c r="E10" s="90"/>
      <c r="F10" s="90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</row>
    <row r="11">
      <c r="A11" s="90"/>
      <c r="B11" s="93" t="s">
        <v>28</v>
      </c>
      <c r="C11" s="94">
        <f>J29</f>
        <v>0</v>
      </c>
      <c r="D11" s="90"/>
      <c r="E11" s="90"/>
      <c r="F11" s="90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</row>
    <row r="12">
      <c r="A12" s="90"/>
      <c r="B12" s="93" t="s">
        <v>29</v>
      </c>
      <c r="C12" s="95">
        <f>P29</f>
        <v>0</v>
      </c>
      <c r="D12" s="90"/>
      <c r="E12" s="90"/>
      <c r="F12" s="90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</row>
    <row r="13">
      <c r="A13" s="90"/>
      <c r="B13" s="93" t="s">
        <v>30</v>
      </c>
      <c r="C13" s="94">
        <f>D39</f>
        <v>0</v>
      </c>
      <c r="D13" s="90"/>
      <c r="E13" s="90"/>
      <c r="F13" s="90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</row>
    <row r="14">
      <c r="A14" s="90"/>
      <c r="B14" s="93" t="s">
        <v>31</v>
      </c>
      <c r="C14" s="95">
        <f>J39</f>
        <v>0</v>
      </c>
      <c r="D14" s="90"/>
      <c r="E14" s="90"/>
      <c r="F14" s="90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</row>
    <row r="15">
      <c r="A15" s="90"/>
      <c r="B15" s="93" t="s">
        <v>32</v>
      </c>
      <c r="C15" s="95">
        <f>P39</f>
        <v>0</v>
      </c>
      <c r="D15" s="90"/>
      <c r="E15" s="90"/>
      <c r="F15" s="90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</row>
    <row r="16">
      <c r="A16" s="90"/>
      <c r="B16" s="93" t="s">
        <v>33</v>
      </c>
      <c r="C16" s="95">
        <f>D49</f>
        <v>0</v>
      </c>
      <c r="D16" s="90"/>
      <c r="E16" s="90"/>
      <c r="F16" s="90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</row>
    <row r="17">
      <c r="A17" s="90"/>
      <c r="B17" s="93" t="s">
        <v>34</v>
      </c>
      <c r="C17" s="95">
        <f>J49</f>
        <v>0</v>
      </c>
      <c r="D17" s="90"/>
      <c r="E17" s="90"/>
      <c r="F17" s="90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</row>
    <row r="18">
      <c r="A18" s="90"/>
      <c r="B18" s="93" t="s">
        <v>35</v>
      </c>
      <c r="C18" s="95">
        <f>P49</f>
        <v>0</v>
      </c>
      <c r="D18" s="90"/>
      <c r="E18" s="90"/>
      <c r="F18" s="90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</row>
    <row r="19">
      <c r="A19" s="90"/>
      <c r="B19" s="93" t="s">
        <v>36</v>
      </c>
      <c r="C19" s="95">
        <f>D59</f>
        <v>0</v>
      </c>
      <c r="D19" s="90"/>
      <c r="E19" s="90"/>
      <c r="F19" s="90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</row>
    <row r="20">
      <c r="A20" s="90"/>
      <c r="B20" s="93" t="s">
        <v>37</v>
      </c>
      <c r="C20" s="95">
        <f>J59</f>
        <v>0</v>
      </c>
      <c r="D20" s="90"/>
      <c r="E20" s="90"/>
      <c r="F20" s="90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</row>
    <row r="21">
      <c r="A21" s="90"/>
      <c r="B21" s="93" t="s">
        <v>38</v>
      </c>
      <c r="C21" s="96">
        <f>P59</f>
        <v>0</v>
      </c>
      <c r="D21" s="90"/>
      <c r="E21" s="90"/>
      <c r="F21" s="90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</row>
    <row r="22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</row>
    <row r="23" ht="13.5" customHeight="1">
      <c r="A23" s="19"/>
      <c r="B23" s="97" t="s">
        <v>27</v>
      </c>
      <c r="C23" s="21"/>
      <c r="D23" s="21"/>
      <c r="E23" s="21"/>
      <c r="F23" s="42"/>
      <c r="G23" s="98"/>
      <c r="H23" s="99" t="s">
        <v>28</v>
      </c>
      <c r="I23" s="21"/>
      <c r="J23" s="21"/>
      <c r="K23" s="21"/>
      <c r="L23" s="42"/>
      <c r="M23" s="100"/>
      <c r="N23" s="101" t="s">
        <v>29</v>
      </c>
      <c r="O23" s="21"/>
      <c r="P23" s="21"/>
      <c r="Q23" s="21"/>
      <c r="R23" s="42"/>
      <c r="S23" s="19"/>
    </row>
    <row r="24" ht="13.5" customHeight="1">
      <c r="A24" s="19"/>
      <c r="B24" s="43"/>
      <c r="C24" s="37"/>
      <c r="D24" s="37"/>
      <c r="E24" s="37"/>
      <c r="F24" s="44"/>
      <c r="G24" s="98"/>
      <c r="H24" s="43"/>
      <c r="I24" s="37"/>
      <c r="J24" s="37"/>
      <c r="K24" s="37"/>
      <c r="L24" s="44"/>
      <c r="M24" s="100"/>
      <c r="N24" s="37"/>
      <c r="O24" s="37"/>
      <c r="P24" s="37"/>
      <c r="Q24" s="37"/>
      <c r="R24" s="44"/>
      <c r="S24" s="19"/>
    </row>
    <row r="25" ht="13.5" customHeight="1">
      <c r="A25" s="19"/>
      <c r="B25" s="102" t="s">
        <v>39</v>
      </c>
      <c r="C25" s="103"/>
      <c r="D25" s="104">
        <f>Yan!$I$4</f>
        <v>0</v>
      </c>
      <c r="F25" s="105"/>
      <c r="G25" s="98"/>
      <c r="H25" s="106" t="s">
        <v>39</v>
      </c>
      <c r="I25" s="103"/>
      <c r="J25" s="104">
        <f>Fev!$I$4</f>
        <v>0</v>
      </c>
      <c r="L25" s="105"/>
      <c r="M25" s="100"/>
      <c r="N25" s="106" t="s">
        <v>39</v>
      </c>
      <c r="O25" s="103"/>
      <c r="P25" s="104">
        <f>Mart!$I$4</f>
        <v>0</v>
      </c>
      <c r="R25" s="105"/>
      <c r="S25" s="19"/>
    </row>
    <row r="26" ht="13.5" customHeight="1">
      <c r="A26" s="19"/>
      <c r="B26" s="107"/>
      <c r="C26" s="108"/>
      <c r="D26" s="109"/>
      <c r="E26" s="109"/>
      <c r="F26" s="110"/>
      <c r="G26" s="98"/>
      <c r="H26" s="107"/>
      <c r="I26" s="108"/>
      <c r="J26" s="109"/>
      <c r="K26" s="109"/>
      <c r="L26" s="110"/>
      <c r="M26" s="100"/>
      <c r="N26" s="107"/>
      <c r="O26" s="108"/>
      <c r="P26" s="109"/>
      <c r="Q26" s="109"/>
      <c r="R26" s="110"/>
      <c r="S26" s="19"/>
    </row>
    <row r="27" ht="13.5" customHeight="1">
      <c r="A27" s="19"/>
      <c r="B27" s="102" t="s">
        <v>40</v>
      </c>
      <c r="C27" s="103"/>
      <c r="D27" s="111">
        <f>Yan!$O$4</f>
        <v>27</v>
      </c>
      <c r="F27" s="105"/>
      <c r="G27" s="98"/>
      <c r="H27" s="106" t="s">
        <v>40</v>
      </c>
      <c r="I27" s="103"/>
      <c r="J27" s="111">
        <f>Fev!$O$4</f>
        <v>0</v>
      </c>
      <c r="L27" s="105"/>
      <c r="M27" s="100"/>
      <c r="N27" s="106" t="s">
        <v>40</v>
      </c>
      <c r="O27" s="103"/>
      <c r="P27" s="111">
        <f>Mart!$O$4</f>
        <v>0</v>
      </c>
      <c r="R27" s="105"/>
      <c r="S27" s="19"/>
    </row>
    <row r="28" ht="13.5" customHeight="1">
      <c r="A28" s="19"/>
      <c r="B28" s="107"/>
      <c r="C28" s="108"/>
      <c r="D28" s="109"/>
      <c r="E28" s="109"/>
      <c r="F28" s="110"/>
      <c r="G28" s="98"/>
      <c r="H28" s="107"/>
      <c r="I28" s="108"/>
      <c r="J28" s="109"/>
      <c r="K28" s="109"/>
      <c r="L28" s="110"/>
      <c r="M28" s="100"/>
      <c r="N28" s="107"/>
      <c r="O28" s="108"/>
      <c r="P28" s="109"/>
      <c r="Q28" s="109"/>
      <c r="R28" s="110"/>
      <c r="S28" s="19"/>
    </row>
    <row r="29" ht="13.5" customHeight="1">
      <c r="A29" s="19"/>
      <c r="B29" s="102" t="s">
        <v>26</v>
      </c>
      <c r="C29" s="103"/>
      <c r="D29" s="112">
        <f>Yan!$AB$4</f>
        <v>0.06801007557</v>
      </c>
      <c r="F29" s="105"/>
      <c r="G29" s="98"/>
      <c r="H29" s="106" t="s">
        <v>26</v>
      </c>
      <c r="I29" s="103"/>
      <c r="J29" s="112">
        <f>Fev!$AB$4</f>
        <v>0</v>
      </c>
      <c r="L29" s="105"/>
      <c r="M29" s="98"/>
      <c r="N29" s="106" t="s">
        <v>26</v>
      </c>
      <c r="O29" s="103"/>
      <c r="P29" s="112">
        <f>Mart!$AB$4</f>
        <v>0</v>
      </c>
      <c r="R29" s="105"/>
      <c r="S29" s="19"/>
    </row>
    <row r="30" ht="13.5" customHeight="1">
      <c r="A30" s="19"/>
      <c r="B30" s="43"/>
      <c r="C30" s="113"/>
      <c r="D30" s="37"/>
      <c r="E30" s="37"/>
      <c r="F30" s="44"/>
      <c r="G30" s="98"/>
      <c r="H30" s="43"/>
      <c r="I30" s="113"/>
      <c r="J30" s="37"/>
      <c r="K30" s="37"/>
      <c r="L30" s="44"/>
      <c r="M30" s="98"/>
      <c r="N30" s="43"/>
      <c r="O30" s="113"/>
      <c r="P30" s="37"/>
      <c r="Q30" s="37"/>
      <c r="R30" s="44"/>
      <c r="S30" s="19"/>
    </row>
    <row r="31">
      <c r="A31" s="19"/>
      <c r="B31" s="114"/>
      <c r="C31" s="114"/>
      <c r="D31" s="114"/>
      <c r="E31" s="115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Q31" s="114"/>
      <c r="R31" s="114"/>
      <c r="S31" s="19"/>
    </row>
    <row r="32">
      <c r="A32" s="19"/>
      <c r="B32" s="116"/>
      <c r="C32" s="116"/>
      <c r="D32" s="116"/>
      <c r="E32" s="117"/>
      <c r="F32" s="116"/>
      <c r="G32" s="114"/>
      <c r="H32" s="116"/>
      <c r="I32" s="116"/>
      <c r="J32" s="116"/>
      <c r="K32" s="116"/>
      <c r="L32" s="116"/>
      <c r="M32" s="114"/>
      <c r="N32" s="116"/>
      <c r="O32" s="116"/>
      <c r="P32" s="116"/>
      <c r="Q32" s="116"/>
      <c r="R32" s="116"/>
      <c r="S32" s="19"/>
    </row>
    <row r="33">
      <c r="A33" s="19"/>
      <c r="B33" s="118" t="s">
        <v>30</v>
      </c>
      <c r="F33" s="105"/>
      <c r="G33" s="98"/>
      <c r="H33" s="119" t="s">
        <v>31</v>
      </c>
      <c r="L33" s="105"/>
      <c r="M33" s="98"/>
      <c r="N33" s="119" t="s">
        <v>32</v>
      </c>
      <c r="R33" s="105"/>
      <c r="S33" s="19"/>
    </row>
    <row r="34">
      <c r="A34" s="19"/>
      <c r="B34" s="43"/>
      <c r="C34" s="37"/>
      <c r="D34" s="37"/>
      <c r="E34" s="37"/>
      <c r="F34" s="44"/>
      <c r="G34" s="98"/>
      <c r="H34" s="37"/>
      <c r="I34" s="37"/>
      <c r="J34" s="37"/>
      <c r="K34" s="37"/>
      <c r="L34" s="44"/>
      <c r="M34" s="98"/>
      <c r="N34" s="37"/>
      <c r="O34" s="37"/>
      <c r="P34" s="37"/>
      <c r="Q34" s="37"/>
      <c r="R34" s="44"/>
      <c r="S34" s="19"/>
    </row>
    <row r="35">
      <c r="A35" s="19"/>
      <c r="B35" s="106" t="s">
        <v>39</v>
      </c>
      <c r="C35" s="103"/>
      <c r="D35" s="104">
        <f>Apr!$I$4</f>
        <v>0</v>
      </c>
      <c r="F35" s="105"/>
      <c r="G35" s="98"/>
      <c r="H35" s="106" t="s">
        <v>39</v>
      </c>
      <c r="I35" s="103"/>
      <c r="J35" s="104">
        <f>May!$I$4</f>
        <v>0</v>
      </c>
      <c r="L35" s="105"/>
      <c r="M35" s="98"/>
      <c r="N35" s="106" t="s">
        <v>39</v>
      </c>
      <c r="O35" s="103"/>
      <c r="P35" s="104">
        <f>Iyun!$I$4</f>
        <v>0</v>
      </c>
      <c r="R35" s="105"/>
      <c r="S35" s="19"/>
    </row>
    <row r="36">
      <c r="A36" s="19"/>
      <c r="B36" s="107"/>
      <c r="C36" s="108"/>
      <c r="D36" s="109"/>
      <c r="E36" s="109"/>
      <c r="F36" s="110"/>
      <c r="G36" s="98"/>
      <c r="H36" s="107"/>
      <c r="I36" s="108"/>
      <c r="J36" s="109"/>
      <c r="K36" s="109"/>
      <c r="L36" s="110"/>
      <c r="M36" s="98"/>
      <c r="N36" s="107"/>
      <c r="O36" s="108"/>
      <c r="P36" s="109"/>
      <c r="Q36" s="109"/>
      <c r="R36" s="110"/>
      <c r="S36" s="19"/>
    </row>
    <row r="37">
      <c r="A37" s="19"/>
      <c r="B37" s="106" t="s">
        <v>40</v>
      </c>
      <c r="C37" s="103"/>
      <c r="D37" s="111">
        <f>Apr!$O$4</f>
        <v>0</v>
      </c>
      <c r="F37" s="105"/>
      <c r="G37" s="98"/>
      <c r="H37" s="106" t="s">
        <v>40</v>
      </c>
      <c r="I37" s="103"/>
      <c r="J37" s="111">
        <f>May!$O$4</f>
        <v>0</v>
      </c>
      <c r="L37" s="105"/>
      <c r="M37" s="98"/>
      <c r="N37" s="106" t="s">
        <v>40</v>
      </c>
      <c r="O37" s="103"/>
      <c r="P37" s="111">
        <f>Iyun!$O$4</f>
        <v>0</v>
      </c>
      <c r="R37" s="105"/>
      <c r="S37" s="19"/>
    </row>
    <row r="38">
      <c r="A38" s="19"/>
      <c r="B38" s="107"/>
      <c r="C38" s="108"/>
      <c r="D38" s="109"/>
      <c r="E38" s="109"/>
      <c r="F38" s="110"/>
      <c r="G38" s="98"/>
      <c r="H38" s="107"/>
      <c r="I38" s="108"/>
      <c r="J38" s="109"/>
      <c r="K38" s="109"/>
      <c r="L38" s="110"/>
      <c r="M38" s="98"/>
      <c r="N38" s="107"/>
      <c r="O38" s="108"/>
      <c r="P38" s="109"/>
      <c r="Q38" s="109"/>
      <c r="R38" s="110"/>
      <c r="S38" s="19"/>
    </row>
    <row r="39">
      <c r="A39" s="19"/>
      <c r="B39" s="106" t="s">
        <v>26</v>
      </c>
      <c r="C39" s="103"/>
      <c r="D39" s="112">
        <f>Apr!$AB$4</f>
        <v>0</v>
      </c>
      <c r="F39" s="105"/>
      <c r="G39" s="98"/>
      <c r="H39" s="106" t="s">
        <v>26</v>
      </c>
      <c r="I39" s="103"/>
      <c r="J39" s="112">
        <f>May!$AB$4</f>
        <v>0</v>
      </c>
      <c r="L39" s="105"/>
      <c r="M39" s="98"/>
      <c r="N39" s="106" t="s">
        <v>26</v>
      </c>
      <c r="O39" s="103"/>
      <c r="P39" s="112">
        <f>Iyun!$AB$4</f>
        <v>0</v>
      </c>
      <c r="R39" s="105"/>
      <c r="S39" s="19"/>
    </row>
    <row r="40">
      <c r="A40" s="19"/>
      <c r="B40" s="43"/>
      <c r="C40" s="113"/>
      <c r="D40" s="37"/>
      <c r="E40" s="37"/>
      <c r="F40" s="44"/>
      <c r="G40" s="98"/>
      <c r="H40" s="43"/>
      <c r="I40" s="113"/>
      <c r="J40" s="37"/>
      <c r="K40" s="37"/>
      <c r="L40" s="44"/>
      <c r="M40" s="98"/>
      <c r="N40" s="43"/>
      <c r="O40" s="113"/>
      <c r="P40" s="37"/>
      <c r="Q40" s="37"/>
      <c r="R40" s="44"/>
      <c r="S40" s="19"/>
    </row>
    <row r="41">
      <c r="A41" s="19"/>
      <c r="B41" s="114"/>
      <c r="C41" s="114"/>
      <c r="D41" s="114"/>
      <c r="E41" s="115"/>
      <c r="F41" s="114"/>
      <c r="G41" s="114"/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9"/>
    </row>
    <row r="42">
      <c r="A42" s="19"/>
      <c r="B42" s="116"/>
      <c r="C42" s="116"/>
      <c r="D42" s="116"/>
      <c r="E42" s="117"/>
      <c r="F42" s="116"/>
      <c r="G42" s="114"/>
      <c r="H42" s="116"/>
      <c r="I42" s="116"/>
      <c r="J42" s="116"/>
      <c r="K42" s="116"/>
      <c r="L42" s="116"/>
      <c r="M42" s="114"/>
      <c r="N42" s="116"/>
      <c r="O42" s="116"/>
      <c r="P42" s="116"/>
      <c r="Q42" s="116"/>
      <c r="R42" s="116"/>
      <c r="S42" s="19"/>
    </row>
    <row r="43">
      <c r="A43" s="19"/>
      <c r="B43" s="118" t="s">
        <v>33</v>
      </c>
      <c r="F43" s="105"/>
      <c r="G43" s="98"/>
      <c r="H43" s="119" t="s">
        <v>34</v>
      </c>
      <c r="L43" s="105"/>
      <c r="M43" s="98"/>
      <c r="N43" s="119" t="s">
        <v>35</v>
      </c>
      <c r="R43" s="105"/>
      <c r="S43" s="19"/>
    </row>
    <row r="44">
      <c r="A44" s="19"/>
      <c r="B44" s="43"/>
      <c r="C44" s="37"/>
      <c r="D44" s="37"/>
      <c r="E44" s="37"/>
      <c r="F44" s="44"/>
      <c r="G44" s="98"/>
      <c r="H44" s="37"/>
      <c r="I44" s="37"/>
      <c r="J44" s="37"/>
      <c r="K44" s="37"/>
      <c r="L44" s="44"/>
      <c r="M44" s="98"/>
      <c r="N44" s="37"/>
      <c r="O44" s="37"/>
      <c r="P44" s="37"/>
      <c r="Q44" s="37"/>
      <c r="R44" s="44"/>
      <c r="S44" s="19"/>
    </row>
    <row r="45">
      <c r="A45" s="19"/>
      <c r="B45" s="106" t="s">
        <v>39</v>
      </c>
      <c r="C45" s="103"/>
      <c r="D45" s="104">
        <f>Iyul!$I$4</f>
        <v>0</v>
      </c>
      <c r="F45" s="105"/>
      <c r="G45" s="98"/>
      <c r="H45" s="106" t="s">
        <v>39</v>
      </c>
      <c r="I45" s="103"/>
      <c r="J45" s="104">
        <f>Avg!$I$4</f>
        <v>0</v>
      </c>
      <c r="L45" s="105"/>
      <c r="M45" s="98"/>
      <c r="N45" s="106" t="s">
        <v>39</v>
      </c>
      <c r="O45" s="103"/>
      <c r="P45" s="104">
        <f>Sen!$I$4</f>
        <v>0</v>
      </c>
      <c r="R45" s="105"/>
      <c r="S45" s="19"/>
    </row>
    <row r="46">
      <c r="A46" s="19"/>
      <c r="B46" s="107"/>
      <c r="C46" s="108"/>
      <c r="D46" s="109"/>
      <c r="E46" s="109"/>
      <c r="F46" s="110"/>
      <c r="G46" s="98"/>
      <c r="H46" s="107"/>
      <c r="I46" s="108"/>
      <c r="J46" s="109"/>
      <c r="K46" s="109"/>
      <c r="L46" s="110"/>
      <c r="M46" s="98"/>
      <c r="N46" s="107"/>
      <c r="O46" s="108"/>
      <c r="P46" s="109"/>
      <c r="Q46" s="109"/>
      <c r="R46" s="110"/>
      <c r="S46" s="19"/>
    </row>
    <row r="47">
      <c r="A47" s="19"/>
      <c r="B47" s="106" t="s">
        <v>40</v>
      </c>
      <c r="C47" s="103"/>
      <c r="D47" s="111">
        <f>Iyul!$O$4</f>
        <v>0</v>
      </c>
      <c r="F47" s="105"/>
      <c r="G47" s="98"/>
      <c r="H47" s="106" t="s">
        <v>40</v>
      </c>
      <c r="I47" s="103"/>
      <c r="J47" s="111">
        <f>Avg!$O$4</f>
        <v>0</v>
      </c>
      <c r="L47" s="105"/>
      <c r="M47" s="98"/>
      <c r="N47" s="106" t="s">
        <v>40</v>
      </c>
      <c r="O47" s="103"/>
      <c r="P47" s="111">
        <f>Sen!$O$4</f>
        <v>0</v>
      </c>
      <c r="R47" s="105"/>
      <c r="S47" s="19"/>
    </row>
    <row r="48">
      <c r="A48" s="19"/>
      <c r="B48" s="107"/>
      <c r="C48" s="108"/>
      <c r="D48" s="109"/>
      <c r="E48" s="109"/>
      <c r="F48" s="110"/>
      <c r="G48" s="98"/>
      <c r="H48" s="107"/>
      <c r="I48" s="108"/>
      <c r="J48" s="109"/>
      <c r="K48" s="109"/>
      <c r="L48" s="110"/>
      <c r="M48" s="98"/>
      <c r="N48" s="107"/>
      <c r="O48" s="108"/>
      <c r="P48" s="109"/>
      <c r="Q48" s="109"/>
      <c r="R48" s="110"/>
      <c r="S48" s="19"/>
    </row>
    <row r="49">
      <c r="A49" s="19"/>
      <c r="B49" s="106" t="s">
        <v>26</v>
      </c>
      <c r="C49" s="103"/>
      <c r="D49" s="112">
        <f>Iyul!$AB$4</f>
        <v>0</v>
      </c>
      <c r="F49" s="105"/>
      <c r="G49" s="98"/>
      <c r="H49" s="106" t="s">
        <v>26</v>
      </c>
      <c r="I49" s="103"/>
      <c r="J49" s="112">
        <f>Avg!$AB$4</f>
        <v>0</v>
      </c>
      <c r="L49" s="105"/>
      <c r="M49" s="98"/>
      <c r="N49" s="106" t="s">
        <v>26</v>
      </c>
      <c r="O49" s="103"/>
      <c r="P49" s="112">
        <f>Sen!$AB$4</f>
        <v>0</v>
      </c>
      <c r="R49" s="105"/>
      <c r="S49" s="19"/>
    </row>
    <row r="50">
      <c r="A50" s="19"/>
      <c r="B50" s="43"/>
      <c r="C50" s="113"/>
      <c r="D50" s="37"/>
      <c r="E50" s="37"/>
      <c r="F50" s="44"/>
      <c r="G50" s="98"/>
      <c r="H50" s="43"/>
      <c r="I50" s="113"/>
      <c r="J50" s="37"/>
      <c r="K50" s="37"/>
      <c r="L50" s="44"/>
      <c r="M50" s="98"/>
      <c r="N50" s="43"/>
      <c r="O50" s="113"/>
      <c r="P50" s="37"/>
      <c r="Q50" s="37"/>
      <c r="R50" s="44"/>
      <c r="S50" s="19"/>
    </row>
    <row r="51">
      <c r="A51" s="19"/>
      <c r="B51" s="114"/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  <c r="P51" s="114"/>
      <c r="Q51" s="114"/>
      <c r="R51" s="114"/>
      <c r="S51" s="19"/>
    </row>
    <row r="52">
      <c r="A52" s="19"/>
      <c r="B52" s="116"/>
      <c r="C52" s="116"/>
      <c r="D52" s="116"/>
      <c r="E52" s="116"/>
      <c r="F52" s="116"/>
      <c r="G52" s="114"/>
      <c r="H52" s="116"/>
      <c r="I52" s="116"/>
      <c r="J52" s="116"/>
      <c r="K52" s="116"/>
      <c r="L52" s="116"/>
      <c r="M52" s="114"/>
      <c r="N52" s="116"/>
      <c r="O52" s="116"/>
      <c r="P52" s="116"/>
      <c r="Q52" s="116"/>
      <c r="R52" s="116"/>
      <c r="S52" s="19"/>
    </row>
    <row r="53">
      <c r="A53" s="19"/>
      <c r="B53" s="118" t="s">
        <v>36</v>
      </c>
      <c r="F53" s="105"/>
      <c r="G53" s="98"/>
      <c r="H53" s="119" t="s">
        <v>37</v>
      </c>
      <c r="L53" s="105"/>
      <c r="M53" s="98"/>
      <c r="N53" s="119" t="s">
        <v>38</v>
      </c>
      <c r="R53" s="105"/>
      <c r="S53" s="19"/>
    </row>
    <row r="54">
      <c r="A54" s="19"/>
      <c r="B54" s="43"/>
      <c r="C54" s="37"/>
      <c r="D54" s="37"/>
      <c r="E54" s="37"/>
      <c r="F54" s="44"/>
      <c r="G54" s="98"/>
      <c r="H54" s="37"/>
      <c r="I54" s="37"/>
      <c r="J54" s="37"/>
      <c r="K54" s="37"/>
      <c r="L54" s="44"/>
      <c r="M54" s="98"/>
      <c r="N54" s="37"/>
      <c r="O54" s="37"/>
      <c r="P54" s="37"/>
      <c r="Q54" s="37"/>
      <c r="R54" s="44"/>
      <c r="S54" s="19"/>
    </row>
    <row r="55">
      <c r="A55" s="19"/>
      <c r="B55" s="106" t="s">
        <v>39</v>
      </c>
      <c r="C55" s="103"/>
      <c r="D55" s="104">
        <f>Okt!$I$4</f>
        <v>0</v>
      </c>
      <c r="F55" s="105"/>
      <c r="G55" s="98"/>
      <c r="H55" s="106" t="s">
        <v>39</v>
      </c>
      <c r="I55" s="103"/>
      <c r="J55" s="104">
        <f>Noy!$I$4</f>
        <v>0</v>
      </c>
      <c r="L55" s="105"/>
      <c r="M55" s="98"/>
      <c r="N55" s="106" t="s">
        <v>39</v>
      </c>
      <c r="O55" s="103"/>
      <c r="P55" s="104">
        <f>Dek!$I$4</f>
        <v>0</v>
      </c>
      <c r="R55" s="105"/>
      <c r="S55" s="19"/>
    </row>
    <row r="56">
      <c r="A56" s="19"/>
      <c r="B56" s="107"/>
      <c r="C56" s="108"/>
      <c r="D56" s="109"/>
      <c r="E56" s="109"/>
      <c r="F56" s="110"/>
      <c r="G56" s="98"/>
      <c r="H56" s="107"/>
      <c r="I56" s="108"/>
      <c r="J56" s="109"/>
      <c r="K56" s="109"/>
      <c r="L56" s="110"/>
      <c r="M56" s="98"/>
      <c r="N56" s="107"/>
      <c r="O56" s="108"/>
      <c r="P56" s="109"/>
      <c r="Q56" s="109"/>
      <c r="R56" s="110"/>
      <c r="S56" s="19"/>
    </row>
    <row r="57">
      <c r="A57" s="19"/>
      <c r="B57" s="106" t="s">
        <v>40</v>
      </c>
      <c r="C57" s="103"/>
      <c r="D57" s="111">
        <f>Okt!$O$4</f>
        <v>0</v>
      </c>
      <c r="F57" s="105"/>
      <c r="G57" s="98"/>
      <c r="H57" s="106" t="s">
        <v>40</v>
      </c>
      <c r="I57" s="103"/>
      <c r="J57" s="111">
        <f>Noy!$O$4</f>
        <v>0</v>
      </c>
      <c r="L57" s="105"/>
      <c r="M57" s="98"/>
      <c r="N57" s="106" t="s">
        <v>40</v>
      </c>
      <c r="O57" s="103"/>
      <c r="P57" s="111">
        <f>Dek!$O$4</f>
        <v>0</v>
      </c>
      <c r="R57" s="105"/>
      <c r="S57" s="19"/>
    </row>
    <row r="58">
      <c r="A58" s="19"/>
      <c r="B58" s="107"/>
      <c r="C58" s="108"/>
      <c r="D58" s="109"/>
      <c r="E58" s="109"/>
      <c r="F58" s="110"/>
      <c r="G58" s="98"/>
      <c r="H58" s="107"/>
      <c r="I58" s="108"/>
      <c r="J58" s="109"/>
      <c r="K58" s="109"/>
      <c r="L58" s="110"/>
      <c r="M58" s="98"/>
      <c r="N58" s="107"/>
      <c r="O58" s="108"/>
      <c r="P58" s="109"/>
      <c r="Q58" s="109"/>
      <c r="R58" s="110"/>
      <c r="S58" s="19"/>
    </row>
    <row r="59">
      <c r="A59" s="19"/>
      <c r="B59" s="106" t="s">
        <v>26</v>
      </c>
      <c r="C59" s="103"/>
      <c r="D59" s="112">
        <f>Okt!$AB$4</f>
        <v>0</v>
      </c>
      <c r="F59" s="105"/>
      <c r="G59" s="98"/>
      <c r="H59" s="106" t="s">
        <v>26</v>
      </c>
      <c r="I59" s="103"/>
      <c r="J59" s="112">
        <f>Noy!$AB$4</f>
        <v>0</v>
      </c>
      <c r="L59" s="105"/>
      <c r="M59" s="98"/>
      <c r="N59" s="106" t="s">
        <v>26</v>
      </c>
      <c r="O59" s="103"/>
      <c r="P59" s="112">
        <f>Dek!$AB$4</f>
        <v>0</v>
      </c>
      <c r="R59" s="105"/>
      <c r="S59" s="19"/>
    </row>
    <row r="60">
      <c r="A60" s="19"/>
      <c r="B60" s="43"/>
      <c r="C60" s="113"/>
      <c r="D60" s="37"/>
      <c r="E60" s="37"/>
      <c r="F60" s="44"/>
      <c r="G60" s="98"/>
      <c r="H60" s="43"/>
      <c r="I60" s="113"/>
      <c r="J60" s="37"/>
      <c r="K60" s="37"/>
      <c r="L60" s="44"/>
      <c r="M60" s="98"/>
      <c r="N60" s="43"/>
      <c r="O60" s="113"/>
      <c r="P60" s="37"/>
      <c r="Q60" s="37"/>
      <c r="R60" s="44"/>
      <c r="S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</row>
  </sheetData>
  <mergeCells count="91">
    <mergeCell ref="H27:I28"/>
    <mergeCell ref="H29:I30"/>
    <mergeCell ref="B33:F34"/>
    <mergeCell ref="H33:L34"/>
    <mergeCell ref="D35:F36"/>
    <mergeCell ref="H35:I36"/>
    <mergeCell ref="J35:L36"/>
    <mergeCell ref="B35:C36"/>
    <mergeCell ref="B37:C38"/>
    <mergeCell ref="D37:F38"/>
    <mergeCell ref="H37:I38"/>
    <mergeCell ref="J37:L38"/>
    <mergeCell ref="B39:C40"/>
    <mergeCell ref="D39:F40"/>
    <mergeCell ref="N45:O46"/>
    <mergeCell ref="P45:R46"/>
    <mergeCell ref="B43:F44"/>
    <mergeCell ref="H43:L44"/>
    <mergeCell ref="N43:R44"/>
    <mergeCell ref="B45:C46"/>
    <mergeCell ref="D45:F46"/>
    <mergeCell ref="H45:I46"/>
    <mergeCell ref="J45:L46"/>
    <mergeCell ref="N47:O48"/>
    <mergeCell ref="N49:O50"/>
    <mergeCell ref="B47:C48"/>
    <mergeCell ref="D47:F48"/>
    <mergeCell ref="J47:L48"/>
    <mergeCell ref="P47:R48"/>
    <mergeCell ref="B49:C50"/>
    <mergeCell ref="D49:F50"/>
    <mergeCell ref="J49:L50"/>
    <mergeCell ref="P49:R50"/>
    <mergeCell ref="N55:O56"/>
    <mergeCell ref="P55:R56"/>
    <mergeCell ref="H47:I48"/>
    <mergeCell ref="H49:I50"/>
    <mergeCell ref="B53:F54"/>
    <mergeCell ref="H53:L54"/>
    <mergeCell ref="N53:R54"/>
    <mergeCell ref="B55:C56"/>
    <mergeCell ref="D55:F56"/>
    <mergeCell ref="C2:G2"/>
    <mergeCell ref="B3:B4"/>
    <mergeCell ref="C3:E4"/>
    <mergeCell ref="F3:F4"/>
    <mergeCell ref="P3:P4"/>
    <mergeCell ref="Q3:Q4"/>
    <mergeCell ref="C5:G5"/>
    <mergeCell ref="N25:O26"/>
    <mergeCell ref="P25:R26"/>
    <mergeCell ref="B23:F24"/>
    <mergeCell ref="H23:L24"/>
    <mergeCell ref="N23:R24"/>
    <mergeCell ref="B25:C26"/>
    <mergeCell ref="D25:F26"/>
    <mergeCell ref="H25:I26"/>
    <mergeCell ref="J25:L26"/>
    <mergeCell ref="N27:O28"/>
    <mergeCell ref="N29:O30"/>
    <mergeCell ref="N33:R34"/>
    <mergeCell ref="N35:O36"/>
    <mergeCell ref="P35:R36"/>
    <mergeCell ref="N37:O38"/>
    <mergeCell ref="P37:R38"/>
    <mergeCell ref="B27:C28"/>
    <mergeCell ref="D27:F28"/>
    <mergeCell ref="J27:L28"/>
    <mergeCell ref="P27:R28"/>
    <mergeCell ref="B29:C30"/>
    <mergeCell ref="D29:F30"/>
    <mergeCell ref="J29:L30"/>
    <mergeCell ref="P29:R30"/>
    <mergeCell ref="H39:I40"/>
    <mergeCell ref="J39:L40"/>
    <mergeCell ref="N39:O40"/>
    <mergeCell ref="P39:R40"/>
    <mergeCell ref="B57:C58"/>
    <mergeCell ref="B59:C60"/>
    <mergeCell ref="D59:F60"/>
    <mergeCell ref="H59:I60"/>
    <mergeCell ref="J59:L60"/>
    <mergeCell ref="N59:O60"/>
    <mergeCell ref="P59:R60"/>
    <mergeCell ref="H55:I56"/>
    <mergeCell ref="J55:L56"/>
    <mergeCell ref="D57:F58"/>
    <mergeCell ref="H57:I58"/>
    <mergeCell ref="J57:L58"/>
    <mergeCell ref="N57:O58"/>
    <mergeCell ref="P57:R58"/>
  </mergeCells>
  <dataValidations>
    <dataValidation type="list" allowBlank="1" showErrorMessage="1" sqref="Q3">
      <formula1>"2023,2024,2025,2026,2027"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2" width="25.88"/>
    <col customWidth="1" min="3" max="19" width="4.25"/>
    <col customWidth="1" min="20" max="20" width="6.88"/>
    <col customWidth="1" min="21" max="33" width="4.25"/>
    <col customWidth="1" min="34" max="40" width="4.75"/>
  </cols>
  <sheetData>
    <row r="1" ht="17.25" customHeight="1">
      <c r="A1" s="120"/>
      <c r="B1" s="121"/>
      <c r="C1" s="122"/>
      <c r="D1" s="120"/>
      <c r="E1" s="121"/>
      <c r="F1" s="121"/>
      <c r="G1" s="121"/>
      <c r="H1" s="121"/>
      <c r="I1" s="121"/>
      <c r="J1" s="121"/>
      <c r="K1" s="121"/>
      <c r="L1" s="121"/>
      <c r="M1" s="123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</row>
    <row r="2" ht="17.25" customHeight="1">
      <c r="A2" s="120"/>
      <c r="B2" s="124"/>
      <c r="C2" s="21"/>
      <c r="D2" s="21"/>
      <c r="E2" s="21"/>
      <c r="F2" s="21"/>
      <c r="G2" s="21"/>
      <c r="H2" s="21"/>
      <c r="I2" s="125"/>
      <c r="J2" s="125"/>
      <c r="K2" s="125"/>
      <c r="L2" s="125"/>
      <c r="M2" s="126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21"/>
      <c r="AI2" s="21"/>
      <c r="AJ2" s="21"/>
      <c r="AK2" s="21"/>
      <c r="AL2" s="21"/>
      <c r="AM2" s="42"/>
      <c r="AN2" s="121"/>
    </row>
    <row r="3" ht="17.25" customHeight="1">
      <c r="A3" s="120"/>
      <c r="B3" s="33" t="s">
        <v>27</v>
      </c>
      <c r="I3" s="29" t="s">
        <v>39</v>
      </c>
      <c r="N3" s="127"/>
      <c r="O3" s="29" t="s">
        <v>41</v>
      </c>
      <c r="U3" s="127"/>
      <c r="V3" s="29" t="s">
        <v>42</v>
      </c>
      <c r="AA3" s="127"/>
      <c r="AB3" s="29" t="s">
        <v>26</v>
      </c>
      <c r="AM3" s="105"/>
      <c r="AN3" s="121"/>
    </row>
    <row r="4" ht="17.25" customHeight="1">
      <c r="A4" s="120"/>
      <c r="B4" s="85"/>
      <c r="I4" s="128">
        <f>SUM(countA($B$10:$B$21),$I$62)</f>
        <v>0</v>
      </c>
      <c r="N4" s="129"/>
      <c r="O4" s="130">
        <f>SUM(COUNTIF($C$10:$AG$21, true),$J$62)</f>
        <v>27</v>
      </c>
      <c r="U4" s="129"/>
      <c r="V4" s="131" t="str">
        <f>IFERROR(__xludf.DUMMYFUNCTION("iferror(SPARKLINE($AB$4:$AF$4,{""charttype"",""bar"";""max"",1;""color1"",""#c9e4b2""}))"),"")</f>
        <v/>
      </c>
      <c r="AA4" s="129"/>
      <c r="AB4" s="132">
        <f>$O$4/SUM(COUNTA($C$10:$AG$21),$K$62)</f>
        <v>0.06801007557</v>
      </c>
      <c r="AM4" s="105"/>
      <c r="AN4" s="121"/>
    </row>
    <row r="5" ht="17.25" customHeight="1">
      <c r="A5" s="120"/>
      <c r="B5" s="133"/>
      <c r="C5" s="37"/>
      <c r="D5" s="37"/>
      <c r="E5" s="37"/>
      <c r="F5" s="37"/>
      <c r="G5" s="37"/>
      <c r="H5" s="37"/>
      <c r="I5" s="134"/>
      <c r="J5" s="134"/>
      <c r="K5" s="134"/>
      <c r="L5" s="134"/>
      <c r="M5" s="135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4"/>
      <c r="AG5" s="37"/>
      <c r="AH5" s="37"/>
      <c r="AI5" s="37"/>
      <c r="AJ5" s="37"/>
      <c r="AK5" s="37"/>
      <c r="AL5" s="37"/>
      <c r="AM5" s="44"/>
      <c r="AN5" s="121"/>
    </row>
    <row r="6" ht="17.25" customHeight="1">
      <c r="A6" s="120"/>
      <c r="B6" s="121"/>
      <c r="C6" s="122"/>
      <c r="D6" s="120"/>
      <c r="E6" s="121"/>
      <c r="F6" s="121"/>
      <c r="G6" s="121"/>
      <c r="H6" s="121"/>
      <c r="I6" s="121"/>
      <c r="J6" s="121"/>
      <c r="K6" s="121"/>
      <c r="L6" s="121"/>
      <c r="M6" s="123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</row>
    <row r="7" ht="17.25" customHeight="1">
      <c r="A7" s="120"/>
      <c r="B7" s="136" t="s">
        <v>43</v>
      </c>
      <c r="C7" s="137" t="s">
        <v>44</v>
      </c>
      <c r="D7" s="46"/>
      <c r="E7" s="46"/>
      <c r="F7" s="46"/>
      <c r="G7" s="46"/>
      <c r="H7" s="46"/>
      <c r="I7" s="47"/>
      <c r="J7" s="138" t="s">
        <v>45</v>
      </c>
      <c r="K7" s="46"/>
      <c r="L7" s="46"/>
      <c r="M7" s="46"/>
      <c r="N7" s="46"/>
      <c r="O7" s="46"/>
      <c r="P7" s="47"/>
      <c r="Q7" s="139" t="s">
        <v>46</v>
      </c>
      <c r="R7" s="46"/>
      <c r="S7" s="46"/>
      <c r="T7" s="46"/>
      <c r="U7" s="46"/>
      <c r="V7" s="46"/>
      <c r="W7" s="47"/>
      <c r="X7" s="140" t="s">
        <v>47</v>
      </c>
      <c r="Y7" s="46"/>
      <c r="Z7" s="46"/>
      <c r="AA7" s="46"/>
      <c r="AB7" s="46"/>
      <c r="AC7" s="46"/>
      <c r="AD7" s="47"/>
      <c r="AE7" s="141"/>
      <c r="AF7" s="46"/>
      <c r="AG7" s="47"/>
      <c r="AH7" s="121"/>
      <c r="AI7" s="142" t="s">
        <v>48</v>
      </c>
      <c r="AJ7" s="42"/>
      <c r="AK7" s="142" t="s">
        <v>49</v>
      </c>
      <c r="AL7" s="21"/>
      <c r="AM7" s="42"/>
      <c r="AN7" s="121"/>
    </row>
    <row r="8" ht="17.25" customHeight="1">
      <c r="A8" s="121"/>
      <c r="B8" s="86"/>
      <c r="C8" s="143">
        <f>weekday(date(Dashboard!$Q$3,$AG$45,C9),1)</f>
        <v>4</v>
      </c>
      <c r="D8" s="143">
        <f>weekday(date(Dashboard!$Q$3,$AG$45,D9),1)</f>
        <v>5</v>
      </c>
      <c r="E8" s="143">
        <f>weekday(date(Dashboard!$Q$3,$AG$45,E9),1)</f>
        <v>6</v>
      </c>
      <c r="F8" s="143">
        <f>weekday(date(Dashboard!$Q$3,$AG$45,F9),1)</f>
        <v>7</v>
      </c>
      <c r="G8" s="143">
        <f>weekday(date(Dashboard!$Q$3,$AG$45,G9),1)</f>
        <v>1</v>
      </c>
      <c r="H8" s="143">
        <f>weekday(date(Dashboard!$Q$3,$AG$45,H9),1)</f>
        <v>2</v>
      </c>
      <c r="I8" s="143">
        <f>weekday(date(Dashboard!$Q$3,$AG$45,I9),1)</f>
        <v>3</v>
      </c>
      <c r="J8" s="144">
        <f>weekday(date(Dashboard!$Q$3,$AG$45,J9),1)</f>
        <v>4</v>
      </c>
      <c r="K8" s="144">
        <f>weekday(date(Dashboard!$Q$3,$AG$45,K9),1)</f>
        <v>5</v>
      </c>
      <c r="L8" s="144">
        <f>weekday(date(Dashboard!$Q$3,$AG$45,L9),1)</f>
        <v>6</v>
      </c>
      <c r="M8" s="144">
        <f>weekday(date(Dashboard!$Q$3,$AG$45,M9),1)</f>
        <v>7</v>
      </c>
      <c r="N8" s="144">
        <f>weekday(date(Dashboard!$Q$3,$AG$45,N9),1)</f>
        <v>1</v>
      </c>
      <c r="O8" s="144">
        <f>weekday(date(Dashboard!$Q$3,$AG$45,O9),1)</f>
        <v>2</v>
      </c>
      <c r="P8" s="144">
        <f>weekday(date(Dashboard!$Q$3,$AG$45,P9),1)</f>
        <v>3</v>
      </c>
      <c r="Q8" s="145">
        <f>weekday(date(Dashboard!$Q$3,$AG$45,Q9),1)</f>
        <v>4</v>
      </c>
      <c r="R8" s="145">
        <f>weekday(date(Dashboard!$Q$3,$AG$45,R9),1)</f>
        <v>5</v>
      </c>
      <c r="S8" s="145">
        <f>weekday(date(Dashboard!$Q$3,$AG$45,S9),1)</f>
        <v>6</v>
      </c>
      <c r="T8" s="145">
        <f>weekday(date(Dashboard!$Q$3,$AG$45,T9),1)</f>
        <v>7</v>
      </c>
      <c r="U8" s="145">
        <f>weekday(date(Dashboard!$Q$3,$AG$45,U9),1)</f>
        <v>1</v>
      </c>
      <c r="V8" s="145">
        <f>weekday(date(Dashboard!$Q$3,$AG$45,V9),1)</f>
        <v>2</v>
      </c>
      <c r="W8" s="145">
        <f>weekday(date(Dashboard!$Q$3,$AG$45,W9),1)</f>
        <v>3</v>
      </c>
      <c r="X8" s="146">
        <f>weekday(date(Dashboard!$Q$3,$AG$45,X9),1)</f>
        <v>4</v>
      </c>
      <c r="Y8" s="146">
        <f>weekday(date(Dashboard!$Q$3,$AG$45,Y9),1)</f>
        <v>5</v>
      </c>
      <c r="Z8" s="146">
        <f>weekday(date(Dashboard!$Q$3,$AG$45,Z9),1)</f>
        <v>6</v>
      </c>
      <c r="AA8" s="146">
        <f>weekday(date(Dashboard!$Q$3,$AG$45,AA9),1)</f>
        <v>7</v>
      </c>
      <c r="AB8" s="146">
        <f>weekday(date(Dashboard!$Q$3,$AG$45,AB9),1)</f>
        <v>1</v>
      </c>
      <c r="AC8" s="146">
        <f>weekday(date(Dashboard!$Q$3,$AG$45,AC9),1)</f>
        <v>2</v>
      </c>
      <c r="AD8" s="146">
        <f>weekday(date(Dashboard!$Q$3,$AG$45,AD9),1)</f>
        <v>3</v>
      </c>
      <c r="AE8" s="147">
        <f>weekday(date(Dashboard!$Q$3,$AG$45,AE9),1)</f>
        <v>4</v>
      </c>
      <c r="AF8" s="147">
        <f>weekday(date(Dashboard!$Q$3,$AG$45,AF9),1)</f>
        <v>5</v>
      </c>
      <c r="AG8" s="148">
        <f>weekday(date(Dashboard!$Q$3,$AG$45,AG9),1)</f>
        <v>6</v>
      </c>
      <c r="AH8" s="149"/>
      <c r="AI8" s="43"/>
      <c r="AJ8" s="44"/>
      <c r="AK8" s="43"/>
      <c r="AL8" s="37"/>
      <c r="AM8" s="44"/>
      <c r="AN8" s="149"/>
    </row>
    <row r="9" ht="17.25" customHeight="1">
      <c r="A9" s="121"/>
      <c r="B9" s="150">
        <f>TODAY()</f>
        <v>46025</v>
      </c>
      <c r="C9" s="151">
        <v>1.0</v>
      </c>
      <c r="D9" s="151">
        <v>2.0</v>
      </c>
      <c r="E9" s="151">
        <v>3.0</v>
      </c>
      <c r="F9" s="151">
        <v>4.0</v>
      </c>
      <c r="G9" s="151">
        <v>5.0</v>
      </c>
      <c r="H9" s="151">
        <v>6.0</v>
      </c>
      <c r="I9" s="151">
        <v>7.0</v>
      </c>
      <c r="J9" s="152">
        <v>8.0</v>
      </c>
      <c r="K9" s="152">
        <v>9.0</v>
      </c>
      <c r="L9" s="152">
        <v>10.0</v>
      </c>
      <c r="M9" s="152">
        <v>11.0</v>
      </c>
      <c r="N9" s="152">
        <v>12.0</v>
      </c>
      <c r="O9" s="152">
        <v>13.0</v>
      </c>
      <c r="P9" s="152">
        <v>14.0</v>
      </c>
      <c r="Q9" s="153">
        <v>15.0</v>
      </c>
      <c r="R9" s="153">
        <v>16.0</v>
      </c>
      <c r="S9" s="153">
        <v>17.0</v>
      </c>
      <c r="T9" s="153">
        <v>18.0</v>
      </c>
      <c r="U9" s="153">
        <v>19.0</v>
      </c>
      <c r="V9" s="153">
        <v>20.0</v>
      </c>
      <c r="W9" s="153">
        <v>21.0</v>
      </c>
      <c r="X9" s="154">
        <v>22.0</v>
      </c>
      <c r="Y9" s="154">
        <v>23.0</v>
      </c>
      <c r="Z9" s="154">
        <v>24.0</v>
      </c>
      <c r="AA9" s="154">
        <v>25.0</v>
      </c>
      <c r="AB9" s="154">
        <v>26.0</v>
      </c>
      <c r="AC9" s="154">
        <v>27.0</v>
      </c>
      <c r="AD9" s="154">
        <v>28.0</v>
      </c>
      <c r="AE9" s="155">
        <v>29.0</v>
      </c>
      <c r="AF9" s="155">
        <v>30.0</v>
      </c>
      <c r="AG9" s="155">
        <v>31.0</v>
      </c>
      <c r="AH9" s="149"/>
      <c r="AI9" s="156" t="s">
        <v>14</v>
      </c>
      <c r="AJ9" s="156" t="s">
        <v>50</v>
      </c>
      <c r="AK9" s="157"/>
      <c r="AL9" s="158"/>
      <c r="AM9" s="159"/>
      <c r="AN9" s="149"/>
    </row>
    <row r="10" ht="17.25" customHeight="1">
      <c r="A10" s="121"/>
      <c r="B10" s="160"/>
      <c r="C10" s="161" t="b">
        <v>1</v>
      </c>
      <c r="D10" s="162" t="b">
        <v>1</v>
      </c>
      <c r="E10" s="162" t="b">
        <v>1</v>
      </c>
      <c r="F10" s="162" t="b">
        <v>1</v>
      </c>
      <c r="G10" s="162" t="b">
        <v>1</v>
      </c>
      <c r="H10" s="162" t="b">
        <v>1</v>
      </c>
      <c r="I10" s="162" t="b">
        <v>0</v>
      </c>
      <c r="J10" s="163" t="b">
        <v>1</v>
      </c>
      <c r="K10" s="163" t="b">
        <v>1</v>
      </c>
      <c r="L10" s="163" t="b">
        <v>1</v>
      </c>
      <c r="M10" s="163" t="b">
        <v>0</v>
      </c>
      <c r="N10" s="163" t="b">
        <v>0</v>
      </c>
      <c r="O10" s="163" t="b">
        <v>0</v>
      </c>
      <c r="P10" s="163" t="b">
        <v>0</v>
      </c>
      <c r="Q10" s="164" t="b">
        <v>0</v>
      </c>
      <c r="R10" s="164" t="b">
        <v>0</v>
      </c>
      <c r="S10" s="164" t="b">
        <v>0</v>
      </c>
      <c r="T10" s="164" t="b">
        <v>0</v>
      </c>
      <c r="U10" s="164" t="b">
        <v>0</v>
      </c>
      <c r="V10" s="164" t="b">
        <v>0</v>
      </c>
      <c r="W10" s="164" t="b">
        <v>0</v>
      </c>
      <c r="X10" s="165" t="b">
        <v>0</v>
      </c>
      <c r="Y10" s="165" t="b">
        <v>0</v>
      </c>
      <c r="Z10" s="165" t="b">
        <v>0</v>
      </c>
      <c r="AA10" s="165" t="b">
        <v>0</v>
      </c>
      <c r="AB10" s="165" t="b">
        <v>1</v>
      </c>
      <c r="AC10" s="165" t="b">
        <v>1</v>
      </c>
      <c r="AD10" s="165" t="b">
        <v>0</v>
      </c>
      <c r="AE10" s="166" t="b">
        <v>0</v>
      </c>
      <c r="AF10" s="166" t="b">
        <v>0</v>
      </c>
      <c r="AG10" s="166" t="b">
        <v>0</v>
      </c>
      <c r="AH10" s="149"/>
      <c r="AI10" s="167"/>
      <c r="AJ10" s="168">
        <f t="array" ref="AJ10:AJ21">MMULT(N($C$10:$AG$21), TRANSPOSE(COLUMN($C$10:$AG$21)^0))
</f>
        <v>11</v>
      </c>
      <c r="AK10" s="169" t="str">
        <f>IFERROR(__xludf.DUMMYFUNCTION("iferror(SPARKLINE(AJ10/AI10,{""charttype"",""bar"";""max"",1;""color1"",""#c9e4b2""}))"),"")</f>
        <v/>
      </c>
      <c r="AL10" s="46"/>
      <c r="AM10" s="47"/>
      <c r="AN10" s="170"/>
    </row>
    <row r="11" ht="17.25" customHeight="1">
      <c r="A11" s="121"/>
      <c r="B11" s="160"/>
      <c r="C11" s="161" t="b">
        <v>0</v>
      </c>
      <c r="D11" s="162" t="b">
        <v>0</v>
      </c>
      <c r="E11" s="162" t="b">
        <v>0</v>
      </c>
      <c r="F11" s="162" t="b">
        <v>0</v>
      </c>
      <c r="G11" s="162" t="b">
        <v>0</v>
      </c>
      <c r="H11" s="162" t="b">
        <v>0</v>
      </c>
      <c r="I11" s="162" t="b">
        <v>0</v>
      </c>
      <c r="J11" s="163" t="b">
        <v>0</v>
      </c>
      <c r="K11" s="163" t="b">
        <v>0</v>
      </c>
      <c r="L11" s="163" t="b">
        <v>0</v>
      </c>
      <c r="M11" s="163" t="b">
        <v>0</v>
      </c>
      <c r="N11" s="163" t="b">
        <v>0</v>
      </c>
      <c r="O11" s="163" t="b">
        <v>0</v>
      </c>
      <c r="P11" s="163" t="b">
        <v>0</v>
      </c>
      <c r="Q11" s="164" t="b">
        <v>0</v>
      </c>
      <c r="R11" s="164" t="b">
        <v>0</v>
      </c>
      <c r="S11" s="164" t="b">
        <v>0</v>
      </c>
      <c r="T11" s="164" t="b">
        <v>0</v>
      </c>
      <c r="U11" s="164" t="b">
        <v>0</v>
      </c>
      <c r="V11" s="164" t="b">
        <v>0</v>
      </c>
      <c r="W11" s="164" t="b">
        <v>0</v>
      </c>
      <c r="X11" s="165" t="b">
        <v>0</v>
      </c>
      <c r="Y11" s="165" t="b">
        <v>0</v>
      </c>
      <c r="Z11" s="165" t="b">
        <v>0</v>
      </c>
      <c r="AA11" s="165" t="b">
        <v>0</v>
      </c>
      <c r="AB11" s="165" t="b">
        <v>1</v>
      </c>
      <c r="AC11" s="165" t="b">
        <v>0</v>
      </c>
      <c r="AD11" s="165" t="b">
        <v>0</v>
      </c>
      <c r="AE11" s="166" t="b">
        <v>0</v>
      </c>
      <c r="AF11" s="166" t="b">
        <v>0</v>
      </c>
      <c r="AG11" s="166" t="b">
        <v>0</v>
      </c>
      <c r="AH11" s="149"/>
      <c r="AI11" s="167"/>
      <c r="AJ11" s="160">
        <v>1.0</v>
      </c>
      <c r="AK11" s="169" t="str">
        <f>IFERROR(__xludf.DUMMYFUNCTION("iferror(SPARKLINE(AJ11/AI11,{""charttype"",""bar"";""max"",1;""color1"",""#c9e4b2""}))"),"")</f>
        <v/>
      </c>
      <c r="AL11" s="46"/>
      <c r="AM11" s="47"/>
      <c r="AN11" s="170"/>
    </row>
    <row r="12" ht="17.25" customHeight="1">
      <c r="A12" s="121"/>
      <c r="B12" s="160"/>
      <c r="C12" s="161" t="b">
        <v>0</v>
      </c>
      <c r="D12" s="162" t="b">
        <v>0</v>
      </c>
      <c r="E12" s="162" t="b">
        <v>0</v>
      </c>
      <c r="F12" s="162" t="b">
        <v>0</v>
      </c>
      <c r="G12" s="162" t="b">
        <v>0</v>
      </c>
      <c r="H12" s="162" t="b">
        <v>0</v>
      </c>
      <c r="I12" s="162" t="b">
        <v>0</v>
      </c>
      <c r="J12" s="163" t="b">
        <v>0</v>
      </c>
      <c r="K12" s="163" t="b">
        <v>0</v>
      </c>
      <c r="L12" s="163" t="b">
        <v>0</v>
      </c>
      <c r="M12" s="163" t="b">
        <v>0</v>
      </c>
      <c r="N12" s="163" t="b">
        <v>0</v>
      </c>
      <c r="O12" s="163" t="b">
        <v>0</v>
      </c>
      <c r="P12" s="163" t="b">
        <v>0</v>
      </c>
      <c r="Q12" s="164" t="b">
        <v>0</v>
      </c>
      <c r="R12" s="164" t="b">
        <v>0</v>
      </c>
      <c r="S12" s="164" t="b">
        <v>0</v>
      </c>
      <c r="T12" s="164" t="b">
        <v>0</v>
      </c>
      <c r="U12" s="164" t="b">
        <v>1</v>
      </c>
      <c r="V12" s="164" t="b">
        <v>0</v>
      </c>
      <c r="W12" s="164" t="b">
        <v>0</v>
      </c>
      <c r="X12" s="165" t="b">
        <v>0</v>
      </c>
      <c r="Y12" s="165" t="b">
        <v>0</v>
      </c>
      <c r="Z12" s="165" t="b">
        <v>0</v>
      </c>
      <c r="AA12" s="165" t="b">
        <v>0</v>
      </c>
      <c r="AB12" s="165" t="b">
        <v>1</v>
      </c>
      <c r="AC12" s="165" t="b">
        <v>0</v>
      </c>
      <c r="AD12" s="165" t="b">
        <v>0</v>
      </c>
      <c r="AE12" s="166" t="b">
        <v>0</v>
      </c>
      <c r="AF12" s="166" t="b">
        <v>0</v>
      </c>
      <c r="AG12" s="166" t="b">
        <v>0</v>
      </c>
      <c r="AH12" s="149"/>
      <c r="AI12" s="167"/>
      <c r="AJ12" s="160">
        <v>2.0</v>
      </c>
      <c r="AK12" s="169" t="str">
        <f>IFERROR(__xludf.DUMMYFUNCTION("iferror(SPARKLINE(AJ12/AI12,{""charttype"",""bar"";""max"",1;""color1"",""#c9e4b2""}))"),"")</f>
        <v/>
      </c>
      <c r="AL12" s="46"/>
      <c r="AM12" s="47"/>
      <c r="AN12" s="170"/>
    </row>
    <row r="13" ht="17.25" customHeight="1">
      <c r="A13" s="121"/>
      <c r="B13" s="160"/>
      <c r="C13" s="161" t="b">
        <v>0</v>
      </c>
      <c r="D13" s="162" t="b">
        <v>0</v>
      </c>
      <c r="E13" s="162" t="b">
        <v>0</v>
      </c>
      <c r="F13" s="162" t="b">
        <v>0</v>
      </c>
      <c r="G13" s="162" t="b">
        <v>0</v>
      </c>
      <c r="H13" s="162" t="b">
        <v>0</v>
      </c>
      <c r="I13" s="162" t="b">
        <v>0</v>
      </c>
      <c r="J13" s="163" t="b">
        <v>0</v>
      </c>
      <c r="K13" s="163" t="b">
        <v>0</v>
      </c>
      <c r="L13" s="163" t="b">
        <v>0</v>
      </c>
      <c r="M13" s="163" t="b">
        <v>0</v>
      </c>
      <c r="N13" s="163" t="b">
        <v>1</v>
      </c>
      <c r="O13" s="163" t="b">
        <v>0</v>
      </c>
      <c r="P13" s="163" t="b">
        <v>0</v>
      </c>
      <c r="Q13" s="164" t="b">
        <v>0</v>
      </c>
      <c r="R13" s="164" t="b">
        <v>1</v>
      </c>
      <c r="S13" s="164" t="b">
        <v>0</v>
      </c>
      <c r="T13" s="164" t="b">
        <v>1</v>
      </c>
      <c r="U13" s="164" t="b">
        <v>0</v>
      </c>
      <c r="V13" s="164" t="b">
        <v>0</v>
      </c>
      <c r="W13" s="164" t="b">
        <v>0</v>
      </c>
      <c r="X13" s="165" t="b">
        <v>1</v>
      </c>
      <c r="Y13" s="165" t="b">
        <v>0</v>
      </c>
      <c r="Z13" s="165" t="b">
        <v>0</v>
      </c>
      <c r="AA13" s="165" t="b">
        <v>1</v>
      </c>
      <c r="AB13" s="165" t="b">
        <v>0</v>
      </c>
      <c r="AC13" s="165" t="b">
        <v>0</v>
      </c>
      <c r="AD13" s="165" t="b">
        <v>0</v>
      </c>
      <c r="AE13" s="166" t="b">
        <v>0</v>
      </c>
      <c r="AF13" s="166" t="b">
        <v>0</v>
      </c>
      <c r="AG13" s="166" t="b">
        <v>0</v>
      </c>
      <c r="AH13" s="149"/>
      <c r="AI13" s="167"/>
      <c r="AJ13" s="160">
        <v>5.0</v>
      </c>
      <c r="AK13" s="169" t="str">
        <f>IFERROR(__xludf.DUMMYFUNCTION("iferror(SPARKLINE(AJ13/AI13,{""charttype"",""bar"";""max"",1;""color1"",""#c9e4b2""}))"),"")</f>
        <v/>
      </c>
      <c r="AL13" s="46"/>
      <c r="AM13" s="47"/>
      <c r="AN13" s="170"/>
    </row>
    <row r="14" ht="17.25" customHeight="1">
      <c r="A14" s="121"/>
      <c r="B14" s="160"/>
      <c r="C14" s="161" t="b">
        <v>0</v>
      </c>
      <c r="D14" s="162" t="b">
        <v>0</v>
      </c>
      <c r="E14" s="162" t="b">
        <v>0</v>
      </c>
      <c r="F14" s="162" t="b">
        <v>0</v>
      </c>
      <c r="G14" s="162" t="b">
        <v>0</v>
      </c>
      <c r="H14" s="162" t="b">
        <v>0</v>
      </c>
      <c r="I14" s="162" t="b">
        <v>0</v>
      </c>
      <c r="J14" s="163" t="b">
        <v>0</v>
      </c>
      <c r="K14" s="163" t="b">
        <v>0</v>
      </c>
      <c r="L14" s="163" t="b">
        <v>0</v>
      </c>
      <c r="M14" s="163" t="b">
        <v>0</v>
      </c>
      <c r="N14" s="163" t="b">
        <v>0</v>
      </c>
      <c r="O14" s="163" t="b">
        <v>0</v>
      </c>
      <c r="P14" s="163" t="b">
        <v>0</v>
      </c>
      <c r="Q14" s="164" t="b">
        <v>1</v>
      </c>
      <c r="R14" s="164" t="b">
        <v>0</v>
      </c>
      <c r="S14" s="164" t="b">
        <v>0</v>
      </c>
      <c r="T14" s="164" t="b">
        <v>0</v>
      </c>
      <c r="U14" s="164" t="b">
        <v>0</v>
      </c>
      <c r="V14" s="164" t="b">
        <v>1</v>
      </c>
      <c r="W14" s="164" t="b">
        <v>0</v>
      </c>
      <c r="X14" s="165" t="b">
        <v>0</v>
      </c>
      <c r="Y14" s="165" t="b">
        <v>0</v>
      </c>
      <c r="Z14" s="165" t="b">
        <v>1</v>
      </c>
      <c r="AA14" s="165" t="b">
        <v>0</v>
      </c>
      <c r="AB14" s="165" t="b">
        <v>0</v>
      </c>
      <c r="AC14" s="165" t="b">
        <v>0</v>
      </c>
      <c r="AD14" s="165" t="b">
        <v>0</v>
      </c>
      <c r="AE14" s="166" t="b">
        <v>0</v>
      </c>
      <c r="AF14" s="166" t="b">
        <v>0</v>
      </c>
      <c r="AG14" s="166" t="b">
        <v>0</v>
      </c>
      <c r="AH14" s="149"/>
      <c r="AI14" s="167"/>
      <c r="AJ14" s="160">
        <v>3.0</v>
      </c>
      <c r="AK14" s="169" t="str">
        <f>IFERROR(__xludf.DUMMYFUNCTION("iferror(SPARKLINE(AJ14/AI14,{""charttype"",""bar"";""max"",1;""color1"",""#c9e4b2""}))"),"")</f>
        <v/>
      </c>
      <c r="AL14" s="46"/>
      <c r="AM14" s="47"/>
      <c r="AN14" s="170"/>
    </row>
    <row r="15" ht="17.25" customHeight="1">
      <c r="A15" s="121"/>
      <c r="B15" s="160"/>
      <c r="C15" s="161" t="b">
        <v>0</v>
      </c>
      <c r="D15" s="162" t="b">
        <v>0</v>
      </c>
      <c r="E15" s="162" t="b">
        <v>0</v>
      </c>
      <c r="F15" s="162" t="b">
        <v>0</v>
      </c>
      <c r="G15" s="162" t="b">
        <v>0</v>
      </c>
      <c r="H15" s="162" t="b">
        <v>0</v>
      </c>
      <c r="I15" s="162" t="b">
        <v>0</v>
      </c>
      <c r="J15" s="163" t="b">
        <v>0</v>
      </c>
      <c r="K15" s="163" t="b">
        <v>0</v>
      </c>
      <c r="L15" s="163" t="b">
        <v>0</v>
      </c>
      <c r="M15" s="163" t="b">
        <v>0</v>
      </c>
      <c r="N15" s="163" t="b">
        <v>0</v>
      </c>
      <c r="O15" s="163" t="b">
        <v>0</v>
      </c>
      <c r="P15" s="163" t="b">
        <v>0</v>
      </c>
      <c r="Q15" s="164" t="b">
        <v>0</v>
      </c>
      <c r="R15" s="164" t="b">
        <v>0</v>
      </c>
      <c r="S15" s="164" t="b">
        <v>0</v>
      </c>
      <c r="T15" s="164" t="b">
        <v>0</v>
      </c>
      <c r="U15" s="164" t="b">
        <v>0</v>
      </c>
      <c r="V15" s="164" t="b">
        <v>1</v>
      </c>
      <c r="W15" s="164" t="b">
        <v>0</v>
      </c>
      <c r="X15" s="165" t="b">
        <v>0</v>
      </c>
      <c r="Y15" s="165" t="b">
        <v>0</v>
      </c>
      <c r="Z15" s="165" t="b">
        <v>0</v>
      </c>
      <c r="AA15" s="165" t="b">
        <v>0</v>
      </c>
      <c r="AB15" s="165" t="b">
        <v>0</v>
      </c>
      <c r="AC15" s="165" t="b">
        <v>0</v>
      </c>
      <c r="AD15" s="165" t="b">
        <v>0</v>
      </c>
      <c r="AE15" s="166" t="b">
        <v>0</v>
      </c>
      <c r="AF15" s="166" t="b">
        <v>0</v>
      </c>
      <c r="AG15" s="166" t="b">
        <v>0</v>
      </c>
      <c r="AH15" s="149"/>
      <c r="AI15" s="167"/>
      <c r="AJ15" s="160">
        <v>1.0</v>
      </c>
      <c r="AK15" s="169" t="str">
        <f>IFERROR(__xludf.DUMMYFUNCTION("iferror(SPARKLINE(AJ15/AI15,{""charttype"",""bar"";""max"",1;""color1"",""#c9e4b2""}))"),"")</f>
        <v/>
      </c>
      <c r="AL15" s="46"/>
      <c r="AM15" s="47"/>
      <c r="AN15" s="170"/>
    </row>
    <row r="16" ht="17.25" customHeight="1">
      <c r="A16" s="121"/>
      <c r="B16" s="160"/>
      <c r="C16" s="161" t="b">
        <v>0</v>
      </c>
      <c r="D16" s="162" t="b">
        <v>0</v>
      </c>
      <c r="E16" s="162" t="b">
        <v>0</v>
      </c>
      <c r="F16" s="162" t="b">
        <v>0</v>
      </c>
      <c r="G16" s="162" t="b">
        <v>0</v>
      </c>
      <c r="H16" s="162" t="b">
        <v>0</v>
      </c>
      <c r="I16" s="162" t="b">
        <v>0</v>
      </c>
      <c r="J16" s="163" t="b">
        <v>0</v>
      </c>
      <c r="K16" s="163" t="b">
        <v>0</v>
      </c>
      <c r="L16" s="163" t="b">
        <v>0</v>
      </c>
      <c r="M16" s="163" t="b">
        <v>0</v>
      </c>
      <c r="N16" s="163" t="b">
        <v>0</v>
      </c>
      <c r="O16" s="163" t="b">
        <v>0</v>
      </c>
      <c r="P16" s="163" t="b">
        <v>0</v>
      </c>
      <c r="Q16" s="164" t="b">
        <v>0</v>
      </c>
      <c r="R16" s="164" t="b">
        <v>0</v>
      </c>
      <c r="S16" s="164" t="b">
        <v>0</v>
      </c>
      <c r="T16" s="164" t="b">
        <v>0</v>
      </c>
      <c r="U16" s="164" t="b">
        <v>0</v>
      </c>
      <c r="V16" s="164" t="b">
        <v>1</v>
      </c>
      <c r="W16" s="164" t="b">
        <v>0</v>
      </c>
      <c r="X16" s="165" t="b">
        <v>0</v>
      </c>
      <c r="Y16" s="165" t="b">
        <v>0</v>
      </c>
      <c r="Z16" s="165" t="b">
        <v>0</v>
      </c>
      <c r="AA16" s="165" t="b">
        <v>0</v>
      </c>
      <c r="AB16" s="165" t="b">
        <v>0</v>
      </c>
      <c r="AC16" s="165" t="b">
        <v>0</v>
      </c>
      <c r="AD16" s="165" t="b">
        <v>0</v>
      </c>
      <c r="AE16" s="166" t="b">
        <v>0</v>
      </c>
      <c r="AF16" s="166" t="b">
        <v>0</v>
      </c>
      <c r="AG16" s="166" t="b">
        <v>0</v>
      </c>
      <c r="AH16" s="149"/>
      <c r="AI16" s="167"/>
      <c r="AJ16" s="160">
        <v>1.0</v>
      </c>
      <c r="AK16" s="169" t="str">
        <f>IFERROR(__xludf.DUMMYFUNCTION("iferror(SPARKLINE(AJ16/AI16,{""charttype"",""bar"";""max"",1;""color1"",""#c9e4b2""}))"),"")</f>
        <v/>
      </c>
      <c r="AL16" s="46"/>
      <c r="AM16" s="47"/>
      <c r="AN16" s="170"/>
    </row>
    <row r="17" ht="17.25" customHeight="1">
      <c r="A17" s="121"/>
      <c r="B17" s="160"/>
      <c r="C17" s="161" t="b">
        <v>0</v>
      </c>
      <c r="D17" s="162" t="b">
        <v>0</v>
      </c>
      <c r="E17" s="162" t="b">
        <v>0</v>
      </c>
      <c r="F17" s="162" t="b">
        <v>0</v>
      </c>
      <c r="G17" s="162" t="b">
        <v>0</v>
      </c>
      <c r="H17" s="162" t="b">
        <v>0</v>
      </c>
      <c r="I17" s="162" t="b">
        <v>0</v>
      </c>
      <c r="J17" s="163" t="b">
        <v>0</v>
      </c>
      <c r="K17" s="163" t="b">
        <v>0</v>
      </c>
      <c r="L17" s="163" t="b">
        <v>0</v>
      </c>
      <c r="M17" s="163" t="b">
        <v>0</v>
      </c>
      <c r="N17" s="163" t="b">
        <v>0</v>
      </c>
      <c r="O17" s="163" t="b">
        <v>0</v>
      </c>
      <c r="P17" s="163" t="b">
        <v>0</v>
      </c>
      <c r="Q17" s="164" t="b">
        <v>0</v>
      </c>
      <c r="R17" s="164" t="b">
        <v>0</v>
      </c>
      <c r="S17" s="164" t="b">
        <v>0</v>
      </c>
      <c r="T17" s="164" t="b">
        <v>0</v>
      </c>
      <c r="U17" s="164" t="b">
        <v>0</v>
      </c>
      <c r="V17" s="164" t="b">
        <v>1</v>
      </c>
      <c r="W17" s="164" t="b">
        <v>0</v>
      </c>
      <c r="X17" s="165" t="b">
        <v>0</v>
      </c>
      <c r="Y17" s="165" t="b">
        <v>0</v>
      </c>
      <c r="Z17" s="165" t="b">
        <v>0</v>
      </c>
      <c r="AA17" s="165" t="b">
        <v>0</v>
      </c>
      <c r="AB17" s="165" t="b">
        <v>0</v>
      </c>
      <c r="AC17" s="165" t="b">
        <v>0</v>
      </c>
      <c r="AD17" s="165" t="b">
        <v>0</v>
      </c>
      <c r="AE17" s="166" t="b">
        <v>0</v>
      </c>
      <c r="AF17" s="166" t="b">
        <v>0</v>
      </c>
      <c r="AG17" s="166" t="b">
        <v>0</v>
      </c>
      <c r="AH17" s="149"/>
      <c r="AI17" s="167"/>
      <c r="AJ17" s="160">
        <v>1.0</v>
      </c>
      <c r="AK17" s="169" t="str">
        <f>IFERROR(__xludf.DUMMYFUNCTION("iferror(SPARKLINE(AJ17/AI17,{""charttype"",""bar"";""max"",1;""color1"",""#c9e4b2""}))"),"")</f>
        <v/>
      </c>
      <c r="AL17" s="46"/>
      <c r="AM17" s="47"/>
      <c r="AN17" s="170"/>
    </row>
    <row r="18" ht="17.25" customHeight="1">
      <c r="A18" s="121"/>
      <c r="B18" s="160"/>
      <c r="C18" s="161" t="b">
        <v>0</v>
      </c>
      <c r="D18" s="162" t="b">
        <v>0</v>
      </c>
      <c r="E18" s="162" t="b">
        <v>0</v>
      </c>
      <c r="F18" s="162" t="b">
        <v>0</v>
      </c>
      <c r="G18" s="162" t="b">
        <v>0</v>
      </c>
      <c r="H18" s="162" t="b">
        <v>0</v>
      </c>
      <c r="I18" s="162" t="b">
        <v>0</v>
      </c>
      <c r="J18" s="163" t="b">
        <v>0</v>
      </c>
      <c r="K18" s="163" t="b">
        <v>0</v>
      </c>
      <c r="L18" s="163" t="b">
        <v>0</v>
      </c>
      <c r="M18" s="163" t="b">
        <v>0</v>
      </c>
      <c r="N18" s="163" t="b">
        <v>0</v>
      </c>
      <c r="O18" s="163" t="b">
        <v>0</v>
      </c>
      <c r="P18" s="163" t="b">
        <v>0</v>
      </c>
      <c r="Q18" s="164" t="b">
        <v>0</v>
      </c>
      <c r="R18" s="164" t="b">
        <v>0</v>
      </c>
      <c r="S18" s="164" t="b">
        <v>0</v>
      </c>
      <c r="T18" s="164" t="b">
        <v>0</v>
      </c>
      <c r="U18" s="164" t="b">
        <v>0</v>
      </c>
      <c r="V18" s="164" t="b">
        <v>1</v>
      </c>
      <c r="W18" s="164" t="b">
        <v>0</v>
      </c>
      <c r="X18" s="165" t="b">
        <v>0</v>
      </c>
      <c r="Y18" s="165" t="b">
        <v>0</v>
      </c>
      <c r="Z18" s="165" t="b">
        <v>0</v>
      </c>
      <c r="AA18" s="165" t="b">
        <v>0</v>
      </c>
      <c r="AB18" s="165" t="b">
        <v>0</v>
      </c>
      <c r="AC18" s="165" t="b">
        <v>0</v>
      </c>
      <c r="AD18" s="165" t="b">
        <v>0</v>
      </c>
      <c r="AE18" s="166" t="b">
        <v>0</v>
      </c>
      <c r="AF18" s="166" t="b">
        <v>0</v>
      </c>
      <c r="AG18" s="166" t="b">
        <v>0</v>
      </c>
      <c r="AH18" s="149"/>
      <c r="AI18" s="167"/>
      <c r="AJ18" s="160">
        <v>1.0</v>
      </c>
      <c r="AK18" s="169" t="str">
        <f>IFERROR(__xludf.DUMMYFUNCTION("iferror(SPARKLINE(AJ18/AI18,{""charttype"",""bar"";""max"",1;""color1"",""#c9e4b2""}))"),"")</f>
        <v/>
      </c>
      <c r="AL18" s="46"/>
      <c r="AM18" s="47"/>
      <c r="AN18" s="170"/>
    </row>
    <row r="19" ht="17.25" customHeight="1">
      <c r="A19" s="121"/>
      <c r="B19" s="160"/>
      <c r="C19" s="161" t="b">
        <v>0</v>
      </c>
      <c r="D19" s="162" t="b">
        <v>0</v>
      </c>
      <c r="E19" s="162" t="b">
        <v>0</v>
      </c>
      <c r="F19" s="162" t="b">
        <v>0</v>
      </c>
      <c r="G19" s="162" t="b">
        <v>0</v>
      </c>
      <c r="H19" s="162" t="b">
        <v>0</v>
      </c>
      <c r="I19" s="162" t="b">
        <v>0</v>
      </c>
      <c r="J19" s="163" t="b">
        <v>0</v>
      </c>
      <c r="K19" s="163" t="b">
        <v>0</v>
      </c>
      <c r="L19" s="163" t="b">
        <v>0</v>
      </c>
      <c r="M19" s="163" t="b">
        <v>0</v>
      </c>
      <c r="N19" s="163" t="b">
        <v>0</v>
      </c>
      <c r="O19" s="163" t="b">
        <v>0</v>
      </c>
      <c r="P19" s="163" t="b">
        <v>0</v>
      </c>
      <c r="Q19" s="164" t="b">
        <v>0</v>
      </c>
      <c r="R19" s="164" t="b">
        <v>0</v>
      </c>
      <c r="S19" s="164" t="b">
        <v>0</v>
      </c>
      <c r="T19" s="164" t="b">
        <v>0</v>
      </c>
      <c r="U19" s="164" t="b">
        <v>0</v>
      </c>
      <c r="V19" s="164" t="b">
        <v>1</v>
      </c>
      <c r="W19" s="164" t="b">
        <v>0</v>
      </c>
      <c r="X19" s="165" t="b">
        <v>0</v>
      </c>
      <c r="Y19" s="165" t="b">
        <v>0</v>
      </c>
      <c r="Z19" s="165" t="b">
        <v>0</v>
      </c>
      <c r="AA19" s="165" t="b">
        <v>0</v>
      </c>
      <c r="AB19" s="165" t="b">
        <v>0</v>
      </c>
      <c r="AC19" s="165" t="b">
        <v>0</v>
      </c>
      <c r="AD19" s="165" t="b">
        <v>0</v>
      </c>
      <c r="AE19" s="166" t="b">
        <v>0</v>
      </c>
      <c r="AF19" s="166" t="b">
        <v>0</v>
      </c>
      <c r="AG19" s="166" t="b">
        <v>0</v>
      </c>
      <c r="AH19" s="149"/>
      <c r="AI19" s="167"/>
      <c r="AJ19" s="160">
        <v>1.0</v>
      </c>
      <c r="AK19" s="169" t="str">
        <f>IFERROR(__xludf.DUMMYFUNCTION("iferror(SPARKLINE(AJ19/AI19,{""charttype"",""bar"";""max"",1;""color1"",""#c9e4b2""}))"),"")</f>
        <v/>
      </c>
      <c r="AL19" s="46"/>
      <c r="AM19" s="47"/>
      <c r="AN19" s="170"/>
    </row>
    <row r="20" ht="17.25" customHeight="1">
      <c r="A20" s="121"/>
      <c r="B20" s="160"/>
      <c r="C20" s="161" t="b">
        <v>0</v>
      </c>
      <c r="D20" s="162" t="b">
        <v>0</v>
      </c>
      <c r="E20" s="162" t="b">
        <v>0</v>
      </c>
      <c r="F20" s="162" t="b">
        <v>0</v>
      </c>
      <c r="G20" s="162" t="b">
        <v>0</v>
      </c>
      <c r="H20" s="162" t="b">
        <v>0</v>
      </c>
      <c r="I20" s="162" t="b">
        <v>0</v>
      </c>
      <c r="J20" s="163" t="b">
        <v>0</v>
      </c>
      <c r="K20" s="163" t="b">
        <v>0</v>
      </c>
      <c r="L20" s="163" t="b">
        <v>0</v>
      </c>
      <c r="M20" s="163" t="b">
        <v>0</v>
      </c>
      <c r="N20" s="163" t="b">
        <v>0</v>
      </c>
      <c r="O20" s="163" t="b">
        <v>0</v>
      </c>
      <c r="P20" s="163" t="b">
        <v>0</v>
      </c>
      <c r="Q20" s="164" t="b">
        <v>0</v>
      </c>
      <c r="R20" s="164" t="b">
        <v>0</v>
      </c>
      <c r="S20" s="164" t="b">
        <v>0</v>
      </c>
      <c r="T20" s="164" t="b">
        <v>0</v>
      </c>
      <c r="U20" s="164" t="b">
        <v>0</v>
      </c>
      <c r="V20" s="164" t="b">
        <v>0</v>
      </c>
      <c r="W20" s="164" t="b">
        <v>0</v>
      </c>
      <c r="X20" s="165" t="b">
        <v>0</v>
      </c>
      <c r="Y20" s="165" t="b">
        <v>0</v>
      </c>
      <c r="Z20" s="165" t="b">
        <v>0</v>
      </c>
      <c r="AA20" s="165" t="b">
        <v>0</v>
      </c>
      <c r="AB20" s="165" t="b">
        <v>0</v>
      </c>
      <c r="AC20" s="165" t="b">
        <v>0</v>
      </c>
      <c r="AD20" s="165" t="b">
        <v>0</v>
      </c>
      <c r="AE20" s="166" t="b">
        <v>0</v>
      </c>
      <c r="AF20" s="166" t="b">
        <v>0</v>
      </c>
      <c r="AG20" s="166" t="b">
        <v>0</v>
      </c>
      <c r="AH20" s="149"/>
      <c r="AI20" s="167"/>
      <c r="AJ20" s="160">
        <v>0.0</v>
      </c>
      <c r="AK20" s="169" t="str">
        <f>IFERROR(__xludf.DUMMYFUNCTION("iferror(SPARKLINE(AJ20/AI20,{""charttype"",""bar"";""max"",1;""color1"",""#c9e4b2""}))"),"")</f>
        <v/>
      </c>
      <c r="AL20" s="46"/>
      <c r="AM20" s="47"/>
      <c r="AN20" s="170"/>
    </row>
    <row r="21" ht="17.25" customHeight="1">
      <c r="A21" s="121"/>
      <c r="B21" s="160"/>
      <c r="C21" s="171" t="b">
        <v>0</v>
      </c>
      <c r="D21" s="172" t="b">
        <v>0</v>
      </c>
      <c r="E21" s="172" t="b">
        <v>0</v>
      </c>
      <c r="F21" s="172" t="b">
        <v>0</v>
      </c>
      <c r="G21" s="172" t="b">
        <v>0</v>
      </c>
      <c r="H21" s="172" t="b">
        <v>0</v>
      </c>
      <c r="I21" s="172" t="b">
        <v>0</v>
      </c>
      <c r="J21" s="173" t="b">
        <v>0</v>
      </c>
      <c r="K21" s="173" t="b">
        <v>0</v>
      </c>
      <c r="L21" s="173" t="b">
        <v>0</v>
      </c>
      <c r="M21" s="173" t="b">
        <v>0</v>
      </c>
      <c r="N21" s="173" t="b">
        <v>0</v>
      </c>
      <c r="O21" s="173" t="b">
        <v>0</v>
      </c>
      <c r="P21" s="173" t="b">
        <v>0</v>
      </c>
      <c r="Q21" s="174" t="b">
        <v>0</v>
      </c>
      <c r="R21" s="174" t="b">
        <v>0</v>
      </c>
      <c r="S21" s="174" t="b">
        <v>0</v>
      </c>
      <c r="T21" s="174" t="b">
        <v>0</v>
      </c>
      <c r="U21" s="174" t="b">
        <v>0</v>
      </c>
      <c r="V21" s="174" t="b">
        <v>0</v>
      </c>
      <c r="W21" s="174" t="b">
        <v>0</v>
      </c>
      <c r="X21" s="175" t="b">
        <v>0</v>
      </c>
      <c r="Y21" s="175" t="b">
        <v>0</v>
      </c>
      <c r="Z21" s="175" t="b">
        <v>0</v>
      </c>
      <c r="AA21" s="175" t="b">
        <v>0</v>
      </c>
      <c r="AB21" s="175" t="b">
        <v>0</v>
      </c>
      <c r="AC21" s="175" t="b">
        <v>0</v>
      </c>
      <c r="AD21" s="175" t="b">
        <v>0</v>
      </c>
      <c r="AE21" s="176" t="b">
        <v>0</v>
      </c>
      <c r="AF21" s="176" t="b">
        <v>0</v>
      </c>
      <c r="AG21" s="176" t="b">
        <v>0</v>
      </c>
      <c r="AH21" s="149"/>
      <c r="AI21" s="167"/>
      <c r="AJ21" s="160">
        <v>0.0</v>
      </c>
      <c r="AK21" s="169" t="str">
        <f>IFERROR(__xludf.DUMMYFUNCTION("iferror(SPARKLINE(AJ21/AI21,{""charttype"",""bar"";""max"",1;""color1"",""#c9e4b2""}))"),"")</f>
        <v/>
      </c>
      <c r="AL21" s="46"/>
      <c r="AM21" s="47"/>
      <c r="AN21" s="170"/>
    </row>
    <row r="22" ht="17.25" customHeight="1">
      <c r="A22" s="121"/>
      <c r="B22" s="121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49"/>
      <c r="AK22" s="149"/>
      <c r="AL22" s="149"/>
      <c r="AM22" s="149"/>
      <c r="AN22" s="149"/>
    </row>
    <row r="23" ht="17.25" customHeight="1">
      <c r="A23" s="121"/>
      <c r="B23" s="177" t="s">
        <v>26</v>
      </c>
      <c r="C23" s="178">
        <f t="shared" ref="C23:AG23" si="1">COUNTIF(C10:C21, TRUE)/COUNTA(C10:C21)</f>
        <v>0.08333333333</v>
      </c>
      <c r="D23" s="178">
        <f t="shared" si="1"/>
        <v>0.08333333333</v>
      </c>
      <c r="E23" s="178">
        <f t="shared" si="1"/>
        <v>0.08333333333</v>
      </c>
      <c r="F23" s="178">
        <f t="shared" si="1"/>
        <v>0.08333333333</v>
      </c>
      <c r="G23" s="178">
        <f t="shared" si="1"/>
        <v>0.08333333333</v>
      </c>
      <c r="H23" s="178">
        <f t="shared" si="1"/>
        <v>0.08333333333</v>
      </c>
      <c r="I23" s="178">
        <f t="shared" si="1"/>
        <v>0</v>
      </c>
      <c r="J23" s="178">
        <f t="shared" si="1"/>
        <v>0.08333333333</v>
      </c>
      <c r="K23" s="178">
        <f t="shared" si="1"/>
        <v>0.08333333333</v>
      </c>
      <c r="L23" s="178">
        <f t="shared" si="1"/>
        <v>0.08333333333</v>
      </c>
      <c r="M23" s="178">
        <f t="shared" si="1"/>
        <v>0</v>
      </c>
      <c r="N23" s="178">
        <f t="shared" si="1"/>
        <v>0.08333333333</v>
      </c>
      <c r="O23" s="178">
        <f t="shared" si="1"/>
        <v>0</v>
      </c>
      <c r="P23" s="178">
        <f t="shared" si="1"/>
        <v>0</v>
      </c>
      <c r="Q23" s="178">
        <f t="shared" si="1"/>
        <v>0.08333333333</v>
      </c>
      <c r="R23" s="178">
        <f t="shared" si="1"/>
        <v>0.08333333333</v>
      </c>
      <c r="S23" s="178">
        <f t="shared" si="1"/>
        <v>0</v>
      </c>
      <c r="T23" s="178">
        <f t="shared" si="1"/>
        <v>0.08333333333</v>
      </c>
      <c r="U23" s="178">
        <f t="shared" si="1"/>
        <v>0.08333333333</v>
      </c>
      <c r="V23" s="178">
        <f t="shared" si="1"/>
        <v>0.5</v>
      </c>
      <c r="W23" s="178">
        <f t="shared" si="1"/>
        <v>0</v>
      </c>
      <c r="X23" s="178">
        <f t="shared" si="1"/>
        <v>0.08333333333</v>
      </c>
      <c r="Y23" s="178">
        <f t="shared" si="1"/>
        <v>0</v>
      </c>
      <c r="Z23" s="178">
        <f t="shared" si="1"/>
        <v>0.08333333333</v>
      </c>
      <c r="AA23" s="178">
        <f t="shared" si="1"/>
        <v>0.08333333333</v>
      </c>
      <c r="AB23" s="178">
        <f t="shared" si="1"/>
        <v>0.25</v>
      </c>
      <c r="AC23" s="178">
        <f t="shared" si="1"/>
        <v>0.08333333333</v>
      </c>
      <c r="AD23" s="178">
        <f t="shared" si="1"/>
        <v>0</v>
      </c>
      <c r="AE23" s="178">
        <f t="shared" si="1"/>
        <v>0</v>
      </c>
      <c r="AF23" s="178">
        <f t="shared" si="1"/>
        <v>0</v>
      </c>
      <c r="AG23" s="178">
        <f t="shared" si="1"/>
        <v>0</v>
      </c>
      <c r="AH23" s="149"/>
      <c r="AI23" s="179"/>
      <c r="AJ23" s="180"/>
      <c r="AK23" s="149"/>
      <c r="AL23" s="149"/>
      <c r="AM23" s="149"/>
      <c r="AN23" s="149"/>
    </row>
    <row r="24" ht="17.25" customHeight="1">
      <c r="A24" s="121"/>
      <c r="B24" s="177" t="s">
        <v>51</v>
      </c>
      <c r="C24" s="181">
        <f t="shared" ref="C24:AG24" si="2">COUNTIF(C10:C21, true)</f>
        <v>1</v>
      </c>
      <c r="D24" s="181">
        <f t="shared" si="2"/>
        <v>1</v>
      </c>
      <c r="E24" s="181">
        <f t="shared" si="2"/>
        <v>1</v>
      </c>
      <c r="F24" s="181">
        <f t="shared" si="2"/>
        <v>1</v>
      </c>
      <c r="G24" s="181">
        <f t="shared" si="2"/>
        <v>1</v>
      </c>
      <c r="H24" s="181">
        <f t="shared" si="2"/>
        <v>1</v>
      </c>
      <c r="I24" s="181">
        <f t="shared" si="2"/>
        <v>0</v>
      </c>
      <c r="J24" s="181">
        <f t="shared" si="2"/>
        <v>1</v>
      </c>
      <c r="K24" s="181">
        <f t="shared" si="2"/>
        <v>1</v>
      </c>
      <c r="L24" s="181">
        <f t="shared" si="2"/>
        <v>1</v>
      </c>
      <c r="M24" s="181">
        <f t="shared" si="2"/>
        <v>0</v>
      </c>
      <c r="N24" s="181">
        <f t="shared" si="2"/>
        <v>1</v>
      </c>
      <c r="O24" s="181">
        <f t="shared" si="2"/>
        <v>0</v>
      </c>
      <c r="P24" s="181">
        <f t="shared" si="2"/>
        <v>0</v>
      </c>
      <c r="Q24" s="181">
        <f t="shared" si="2"/>
        <v>1</v>
      </c>
      <c r="R24" s="181">
        <f t="shared" si="2"/>
        <v>1</v>
      </c>
      <c r="S24" s="181">
        <f t="shared" si="2"/>
        <v>0</v>
      </c>
      <c r="T24" s="181">
        <f t="shared" si="2"/>
        <v>1</v>
      </c>
      <c r="U24" s="181">
        <f t="shared" si="2"/>
        <v>1</v>
      </c>
      <c r="V24" s="181">
        <f t="shared" si="2"/>
        <v>6</v>
      </c>
      <c r="W24" s="181">
        <f t="shared" si="2"/>
        <v>0</v>
      </c>
      <c r="X24" s="181">
        <f t="shared" si="2"/>
        <v>1</v>
      </c>
      <c r="Y24" s="181">
        <f t="shared" si="2"/>
        <v>0</v>
      </c>
      <c r="Z24" s="181">
        <f t="shared" si="2"/>
        <v>1</v>
      </c>
      <c r="AA24" s="181">
        <f t="shared" si="2"/>
        <v>1</v>
      </c>
      <c r="AB24" s="181">
        <f t="shared" si="2"/>
        <v>3</v>
      </c>
      <c r="AC24" s="181">
        <f t="shared" si="2"/>
        <v>1</v>
      </c>
      <c r="AD24" s="181">
        <f t="shared" si="2"/>
        <v>0</v>
      </c>
      <c r="AE24" s="181">
        <f t="shared" si="2"/>
        <v>0</v>
      </c>
      <c r="AF24" s="181">
        <f t="shared" si="2"/>
        <v>0</v>
      </c>
      <c r="AG24" s="181">
        <f t="shared" si="2"/>
        <v>0</v>
      </c>
      <c r="AH24" s="149"/>
      <c r="AI24" s="179"/>
      <c r="AJ24" s="180"/>
      <c r="AK24" s="149"/>
      <c r="AL24" s="149"/>
      <c r="AM24" s="149"/>
      <c r="AN24" s="149"/>
    </row>
    <row r="25" ht="17.25" customHeight="1">
      <c r="A25" s="121"/>
      <c r="B25" s="177" t="s">
        <v>52</v>
      </c>
      <c r="C25" s="182">
        <f t="shared" ref="C25:AG25" si="3">COUNTIF(C10:C21, false)</f>
        <v>11</v>
      </c>
      <c r="D25" s="182">
        <f t="shared" si="3"/>
        <v>11</v>
      </c>
      <c r="E25" s="182">
        <f t="shared" si="3"/>
        <v>11</v>
      </c>
      <c r="F25" s="182">
        <f t="shared" si="3"/>
        <v>11</v>
      </c>
      <c r="G25" s="182">
        <f t="shared" si="3"/>
        <v>11</v>
      </c>
      <c r="H25" s="182">
        <f t="shared" si="3"/>
        <v>11</v>
      </c>
      <c r="I25" s="182">
        <f t="shared" si="3"/>
        <v>12</v>
      </c>
      <c r="J25" s="182">
        <f t="shared" si="3"/>
        <v>11</v>
      </c>
      <c r="K25" s="182">
        <f t="shared" si="3"/>
        <v>11</v>
      </c>
      <c r="L25" s="182">
        <f t="shared" si="3"/>
        <v>11</v>
      </c>
      <c r="M25" s="182">
        <f t="shared" si="3"/>
        <v>12</v>
      </c>
      <c r="N25" s="182">
        <f t="shared" si="3"/>
        <v>11</v>
      </c>
      <c r="O25" s="182">
        <f t="shared" si="3"/>
        <v>12</v>
      </c>
      <c r="P25" s="182">
        <f t="shared" si="3"/>
        <v>12</v>
      </c>
      <c r="Q25" s="182">
        <f t="shared" si="3"/>
        <v>11</v>
      </c>
      <c r="R25" s="182">
        <f t="shared" si="3"/>
        <v>11</v>
      </c>
      <c r="S25" s="182">
        <f t="shared" si="3"/>
        <v>12</v>
      </c>
      <c r="T25" s="182">
        <f t="shared" si="3"/>
        <v>11</v>
      </c>
      <c r="U25" s="182">
        <f t="shared" si="3"/>
        <v>11</v>
      </c>
      <c r="V25" s="182">
        <f t="shared" si="3"/>
        <v>6</v>
      </c>
      <c r="W25" s="182">
        <f t="shared" si="3"/>
        <v>12</v>
      </c>
      <c r="X25" s="182">
        <f t="shared" si="3"/>
        <v>11</v>
      </c>
      <c r="Y25" s="182">
        <f t="shared" si="3"/>
        <v>12</v>
      </c>
      <c r="Z25" s="182">
        <f t="shared" si="3"/>
        <v>11</v>
      </c>
      <c r="AA25" s="182">
        <f t="shared" si="3"/>
        <v>11</v>
      </c>
      <c r="AB25" s="182">
        <f t="shared" si="3"/>
        <v>9</v>
      </c>
      <c r="AC25" s="182">
        <f t="shared" si="3"/>
        <v>11</v>
      </c>
      <c r="AD25" s="182">
        <f t="shared" si="3"/>
        <v>12</v>
      </c>
      <c r="AE25" s="182">
        <f t="shared" si="3"/>
        <v>12</v>
      </c>
      <c r="AF25" s="182">
        <f t="shared" si="3"/>
        <v>12</v>
      </c>
      <c r="AG25" s="182">
        <f t="shared" si="3"/>
        <v>12</v>
      </c>
      <c r="AH25" s="149"/>
      <c r="AI25" s="179"/>
      <c r="AJ25" s="180"/>
      <c r="AK25" s="149"/>
      <c r="AL25" s="149"/>
      <c r="AM25" s="149"/>
      <c r="AN25" s="149"/>
    </row>
    <row r="26" ht="17.25" customHeight="1">
      <c r="A26" s="121"/>
      <c r="B26" s="121"/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  <c r="AA26" s="149"/>
      <c r="AB26" s="149"/>
      <c r="AC26" s="149"/>
      <c r="AD26" s="149"/>
      <c r="AE26" s="149"/>
      <c r="AF26" s="149"/>
      <c r="AG26" s="149"/>
      <c r="AH26" s="149"/>
      <c r="AI26" s="179"/>
      <c r="AJ26" s="180"/>
      <c r="AK26" s="149"/>
      <c r="AL26" s="149"/>
      <c r="AM26" s="149"/>
      <c r="AN26" s="149"/>
    </row>
    <row r="27" ht="17.25" customHeight="1">
      <c r="A27" s="121"/>
      <c r="B27" s="121"/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  <c r="AA27" s="149"/>
      <c r="AB27" s="149"/>
      <c r="AC27" s="149"/>
      <c r="AD27" s="149"/>
      <c r="AE27" s="149"/>
      <c r="AF27" s="149"/>
      <c r="AG27" s="149"/>
      <c r="AH27" s="149"/>
      <c r="AI27" s="179"/>
      <c r="AJ27" s="180"/>
      <c r="AK27" s="149"/>
      <c r="AL27" s="149"/>
      <c r="AM27" s="149"/>
      <c r="AN27" s="149"/>
    </row>
    <row r="28" ht="17.25" customHeight="1">
      <c r="A28" s="121"/>
      <c r="B28" s="121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  <c r="AB28" s="149"/>
      <c r="AC28" s="149"/>
      <c r="AD28" s="149"/>
      <c r="AE28" s="149"/>
      <c r="AF28" s="149"/>
      <c r="AG28" s="149"/>
      <c r="AH28" s="149"/>
      <c r="AI28" s="179"/>
      <c r="AJ28" s="180"/>
      <c r="AK28" s="149"/>
      <c r="AL28" s="149"/>
      <c r="AM28" s="149"/>
      <c r="AN28" s="149"/>
    </row>
    <row r="29" ht="17.25" customHeight="1">
      <c r="A29" s="121"/>
      <c r="B29" s="121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79"/>
      <c r="AJ29" s="180"/>
      <c r="AK29" s="149"/>
      <c r="AL29" s="149"/>
      <c r="AM29" s="149"/>
      <c r="AN29" s="149"/>
    </row>
    <row r="30" ht="17.25" customHeight="1">
      <c r="A30" s="121"/>
      <c r="B30" s="121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49"/>
      <c r="AE30" s="149"/>
      <c r="AF30" s="149"/>
      <c r="AG30" s="149"/>
      <c r="AH30" s="149"/>
      <c r="AI30" s="179"/>
      <c r="AJ30" s="180"/>
      <c r="AK30" s="149"/>
      <c r="AL30" s="149"/>
      <c r="AM30" s="149"/>
      <c r="AN30" s="149"/>
    </row>
    <row r="31" ht="17.25" customHeight="1">
      <c r="A31" s="121"/>
      <c r="B31" s="121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  <c r="AI31" s="179"/>
      <c r="AJ31" s="180"/>
      <c r="AK31" s="149"/>
      <c r="AL31" s="149"/>
      <c r="AM31" s="149"/>
      <c r="AN31" s="149"/>
    </row>
    <row r="32" ht="17.25" customHeight="1">
      <c r="A32" s="121"/>
      <c r="B32" s="121"/>
      <c r="C32" s="149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79"/>
      <c r="AJ32" s="180"/>
      <c r="AK32" s="149"/>
      <c r="AL32" s="149"/>
      <c r="AM32" s="149"/>
      <c r="AN32" s="149"/>
    </row>
    <row r="33" ht="17.25" customHeight="1">
      <c r="A33" s="121"/>
      <c r="B33" s="121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149"/>
      <c r="AG33" s="149"/>
      <c r="AH33" s="149"/>
      <c r="AI33" s="179"/>
      <c r="AJ33" s="180"/>
      <c r="AK33" s="149"/>
      <c r="AL33" s="149"/>
      <c r="AM33" s="149"/>
      <c r="AN33" s="149"/>
    </row>
    <row r="34" ht="17.25" customHeight="1">
      <c r="A34" s="121"/>
      <c r="B34" s="121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  <c r="AC34" s="149"/>
      <c r="AD34" s="149"/>
      <c r="AE34" s="149"/>
      <c r="AF34" s="149"/>
      <c r="AG34" s="149"/>
      <c r="AH34" s="149"/>
      <c r="AI34" s="179"/>
      <c r="AJ34" s="180"/>
      <c r="AK34" s="149"/>
      <c r="AL34" s="149"/>
      <c r="AM34" s="149"/>
      <c r="AN34" s="149"/>
    </row>
    <row r="35" ht="17.25" customHeight="1">
      <c r="A35" s="121"/>
      <c r="B35" s="121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149"/>
      <c r="AE35" s="149"/>
      <c r="AF35" s="149"/>
      <c r="AG35" s="149"/>
      <c r="AH35" s="149"/>
      <c r="AI35" s="183"/>
      <c r="AJ35" s="183"/>
      <c r="AK35" s="149"/>
      <c r="AL35" s="149"/>
      <c r="AM35" s="149"/>
      <c r="AN35" s="149"/>
    </row>
    <row r="36" ht="17.25" customHeight="1">
      <c r="A36" s="121"/>
      <c r="B36" s="184" t="s">
        <v>53</v>
      </c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7"/>
      <c r="AH36" s="149"/>
      <c r="AI36" s="184" t="s">
        <v>54</v>
      </c>
      <c r="AJ36" s="46"/>
      <c r="AK36" s="46"/>
      <c r="AL36" s="46"/>
      <c r="AM36" s="47"/>
      <c r="AN36" s="149"/>
    </row>
    <row r="37" ht="17.25" customHeight="1">
      <c r="A37" s="121"/>
      <c r="B37" s="185" t="s">
        <v>55</v>
      </c>
      <c r="C37" s="186"/>
      <c r="D37" s="186"/>
      <c r="E37" s="186"/>
      <c r="F37" s="186"/>
      <c r="G37" s="186"/>
      <c r="H37" s="186"/>
      <c r="I37" s="186"/>
      <c r="J37" s="186"/>
      <c r="K37" s="186"/>
      <c r="L37" s="186"/>
      <c r="M37" s="186"/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  <c r="AA37" s="186"/>
      <c r="AB37" s="186"/>
      <c r="AC37" s="186"/>
      <c r="AD37" s="186"/>
      <c r="AE37" s="186"/>
      <c r="AF37" s="186"/>
      <c r="AG37" s="186"/>
      <c r="AH37" s="149"/>
      <c r="AI37" s="187" t="str">
        <f t="shared" ref="AI37:AI39" si="4">iferror(Average(C37:AG37), "")</f>
        <v/>
      </c>
      <c r="AJ37" s="46"/>
      <c r="AK37" s="46"/>
      <c r="AL37" s="46"/>
      <c r="AM37" s="47"/>
      <c r="AN37" s="149"/>
    </row>
    <row r="38" ht="17.25" customHeight="1">
      <c r="A38" s="121"/>
      <c r="B38" s="185" t="s">
        <v>56</v>
      </c>
      <c r="C38" s="188"/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88"/>
      <c r="P38" s="188"/>
      <c r="Q38" s="188"/>
      <c r="R38" s="188"/>
      <c r="S38" s="188"/>
      <c r="T38" s="188"/>
      <c r="U38" s="188"/>
      <c r="V38" s="188"/>
      <c r="W38" s="188"/>
      <c r="X38" s="188"/>
      <c r="Y38" s="188"/>
      <c r="Z38" s="188"/>
      <c r="AA38" s="188"/>
      <c r="AB38" s="188"/>
      <c r="AC38" s="188"/>
      <c r="AD38" s="188"/>
      <c r="AE38" s="188"/>
      <c r="AF38" s="188"/>
      <c r="AG38" s="188"/>
      <c r="AH38" s="149"/>
      <c r="AI38" s="187" t="str">
        <f t="shared" si="4"/>
        <v/>
      </c>
      <c r="AJ38" s="46"/>
      <c r="AK38" s="46"/>
      <c r="AL38" s="46"/>
      <c r="AM38" s="47"/>
      <c r="AN38" s="149"/>
    </row>
    <row r="39" ht="17.25" customHeight="1">
      <c r="A39" s="121"/>
      <c r="B39" s="185" t="s">
        <v>57</v>
      </c>
      <c r="C39" s="189"/>
      <c r="D39" s="189"/>
      <c r="E39" s="189"/>
      <c r="F39" s="189"/>
      <c r="G39" s="189"/>
      <c r="H39" s="189"/>
      <c r="I39" s="189"/>
      <c r="J39" s="189"/>
      <c r="K39" s="189"/>
      <c r="L39" s="189"/>
      <c r="M39" s="189"/>
      <c r="N39" s="189"/>
      <c r="O39" s="189"/>
      <c r="P39" s="189"/>
      <c r="Q39" s="189"/>
      <c r="R39" s="189"/>
      <c r="S39" s="189"/>
      <c r="T39" s="189"/>
      <c r="U39" s="189"/>
      <c r="V39" s="189"/>
      <c r="W39" s="189"/>
      <c r="X39" s="189"/>
      <c r="Y39" s="189"/>
      <c r="Z39" s="189"/>
      <c r="AA39" s="189"/>
      <c r="AB39" s="189"/>
      <c r="AC39" s="189"/>
      <c r="AD39" s="189"/>
      <c r="AE39" s="189"/>
      <c r="AF39" s="189"/>
      <c r="AG39" s="189"/>
      <c r="AH39" s="149"/>
      <c r="AI39" s="187" t="str">
        <f t="shared" si="4"/>
        <v/>
      </c>
      <c r="AJ39" s="46"/>
      <c r="AK39" s="46"/>
      <c r="AL39" s="46"/>
      <c r="AM39" s="47"/>
      <c r="AN39" s="149"/>
    </row>
    <row r="40" ht="17.25" customHeight="1">
      <c r="A40" s="121"/>
      <c r="B40" s="121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  <c r="AK40" s="149"/>
      <c r="AL40" s="149"/>
      <c r="AM40" s="149"/>
      <c r="AN40" s="149"/>
    </row>
    <row r="41" ht="17.25" customHeight="1">
      <c r="A41" s="121"/>
      <c r="B41" s="121"/>
      <c r="C41" s="149"/>
      <c r="D41" s="149"/>
      <c r="E41" s="149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  <c r="AB41" s="149"/>
      <c r="AC41" s="149"/>
      <c r="AD41" s="149"/>
      <c r="AE41" s="149"/>
      <c r="AF41" s="149"/>
      <c r="AG41" s="149"/>
      <c r="AH41" s="149"/>
      <c r="AI41" s="149"/>
      <c r="AJ41" s="149"/>
      <c r="AK41" s="149"/>
      <c r="AL41" s="149"/>
      <c r="AM41" s="149"/>
      <c r="AN41" s="149"/>
    </row>
    <row r="42" ht="17.25" customHeight="1">
      <c r="A42" s="121"/>
      <c r="B42" s="136" t="s">
        <v>58</v>
      </c>
      <c r="C42" s="190" t="s">
        <v>44</v>
      </c>
      <c r="D42" s="46"/>
      <c r="E42" s="46"/>
      <c r="F42" s="46"/>
      <c r="G42" s="46"/>
      <c r="H42" s="47"/>
      <c r="I42" s="151"/>
      <c r="J42" s="191" t="s">
        <v>45</v>
      </c>
      <c r="K42" s="46"/>
      <c r="L42" s="46"/>
      <c r="M42" s="46"/>
      <c r="N42" s="46"/>
      <c r="O42" s="47"/>
      <c r="P42" s="152"/>
      <c r="Q42" s="192" t="s">
        <v>46</v>
      </c>
      <c r="R42" s="46"/>
      <c r="S42" s="46"/>
      <c r="T42" s="46"/>
      <c r="U42" s="46"/>
      <c r="V42" s="47"/>
      <c r="W42" s="154"/>
      <c r="X42" s="193" t="s">
        <v>47</v>
      </c>
      <c r="Y42" s="46"/>
      <c r="Z42" s="46"/>
      <c r="AA42" s="46"/>
      <c r="AB42" s="46"/>
      <c r="AC42" s="47"/>
      <c r="AD42" s="153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</row>
    <row r="43" ht="17.25" customHeight="1">
      <c r="A43" s="121"/>
      <c r="B43" s="86"/>
      <c r="C43" s="194"/>
      <c r="D43" s="46"/>
      <c r="E43" s="46"/>
      <c r="F43" s="46"/>
      <c r="G43" s="46"/>
      <c r="H43" s="47"/>
      <c r="I43" s="195" t="b">
        <v>0</v>
      </c>
      <c r="J43" s="196"/>
      <c r="K43" s="46"/>
      <c r="L43" s="46"/>
      <c r="M43" s="46"/>
      <c r="N43" s="46"/>
      <c r="O43" s="47"/>
      <c r="P43" s="197" t="b">
        <v>0</v>
      </c>
      <c r="Q43" s="198"/>
      <c r="R43" s="46"/>
      <c r="S43" s="46"/>
      <c r="T43" s="46"/>
      <c r="U43" s="46"/>
      <c r="V43" s="47"/>
      <c r="W43" s="199" t="b">
        <v>0</v>
      </c>
      <c r="X43" s="200"/>
      <c r="Y43" s="46"/>
      <c r="Z43" s="46"/>
      <c r="AA43" s="46"/>
      <c r="AB43" s="46"/>
      <c r="AC43" s="47"/>
      <c r="AD43" s="201" t="b">
        <v>0</v>
      </c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</row>
    <row r="44" ht="17.25" customHeight="1">
      <c r="A44" s="121"/>
      <c r="B44" s="121"/>
      <c r="C44" s="194"/>
      <c r="D44" s="46"/>
      <c r="E44" s="46"/>
      <c r="F44" s="46"/>
      <c r="G44" s="46"/>
      <c r="H44" s="47"/>
      <c r="I44" s="195" t="b">
        <v>0</v>
      </c>
      <c r="J44" s="196"/>
      <c r="K44" s="46"/>
      <c r="L44" s="46"/>
      <c r="M44" s="46"/>
      <c r="N44" s="46"/>
      <c r="O44" s="47"/>
      <c r="P44" s="197" t="b">
        <v>0</v>
      </c>
      <c r="Q44" s="198"/>
      <c r="R44" s="46"/>
      <c r="S44" s="46"/>
      <c r="T44" s="46"/>
      <c r="U44" s="46"/>
      <c r="V44" s="47"/>
      <c r="W44" s="199" t="b">
        <v>0</v>
      </c>
      <c r="X44" s="200"/>
      <c r="Y44" s="46"/>
      <c r="Z44" s="46"/>
      <c r="AA44" s="46"/>
      <c r="AB44" s="46"/>
      <c r="AC44" s="47"/>
      <c r="AD44" s="201" t="b">
        <v>0</v>
      </c>
      <c r="AE44" s="121"/>
      <c r="AF44" s="121"/>
      <c r="AG44" s="202" t="s">
        <v>59</v>
      </c>
      <c r="AH44" s="121"/>
      <c r="AI44" s="121"/>
      <c r="AJ44" s="121"/>
      <c r="AK44" s="121"/>
      <c r="AL44" s="121"/>
      <c r="AM44" s="121"/>
      <c r="AN44" s="121"/>
    </row>
    <row r="45" ht="17.25" customHeight="1">
      <c r="A45" s="121"/>
      <c r="B45" s="121"/>
      <c r="C45" s="194"/>
      <c r="D45" s="46"/>
      <c r="E45" s="46"/>
      <c r="F45" s="46"/>
      <c r="G45" s="46"/>
      <c r="H45" s="47"/>
      <c r="I45" s="195" t="b">
        <v>0</v>
      </c>
      <c r="J45" s="196"/>
      <c r="K45" s="46"/>
      <c r="L45" s="46"/>
      <c r="M45" s="46"/>
      <c r="N45" s="46"/>
      <c r="O45" s="47"/>
      <c r="P45" s="197" t="b">
        <v>0</v>
      </c>
      <c r="Q45" s="198"/>
      <c r="R45" s="46"/>
      <c r="S45" s="46"/>
      <c r="T45" s="46"/>
      <c r="U45" s="46"/>
      <c r="V45" s="47"/>
      <c r="W45" s="199" t="b">
        <v>0</v>
      </c>
      <c r="X45" s="200"/>
      <c r="Y45" s="46"/>
      <c r="Z45" s="46"/>
      <c r="AA45" s="46"/>
      <c r="AB45" s="46"/>
      <c r="AC45" s="47"/>
      <c r="AD45" s="201" t="b">
        <v>0</v>
      </c>
      <c r="AE45" s="121"/>
      <c r="AF45" s="121"/>
      <c r="AG45" s="203">
        <v>1.0</v>
      </c>
      <c r="AH45" s="120"/>
      <c r="AI45" s="120"/>
      <c r="AJ45" s="120"/>
      <c r="AK45" s="120"/>
      <c r="AL45" s="120"/>
      <c r="AM45" s="120"/>
      <c r="AN45" s="120"/>
    </row>
    <row r="46" ht="17.25" customHeight="1">
      <c r="A46" s="121"/>
      <c r="B46" s="121"/>
      <c r="C46" s="194"/>
      <c r="D46" s="46"/>
      <c r="E46" s="46"/>
      <c r="F46" s="46"/>
      <c r="G46" s="46"/>
      <c r="H46" s="47"/>
      <c r="I46" s="195" t="b">
        <v>0</v>
      </c>
      <c r="J46" s="196"/>
      <c r="K46" s="46"/>
      <c r="L46" s="46"/>
      <c r="M46" s="46"/>
      <c r="N46" s="46"/>
      <c r="O46" s="47"/>
      <c r="P46" s="197" t="b">
        <v>0</v>
      </c>
      <c r="Q46" s="198"/>
      <c r="R46" s="46"/>
      <c r="S46" s="46"/>
      <c r="T46" s="46"/>
      <c r="U46" s="46"/>
      <c r="V46" s="47"/>
      <c r="W46" s="199" t="b">
        <v>0</v>
      </c>
      <c r="X46" s="200"/>
      <c r="Y46" s="46"/>
      <c r="Z46" s="46"/>
      <c r="AA46" s="46"/>
      <c r="AB46" s="46"/>
      <c r="AC46" s="47"/>
      <c r="AD46" s="201" t="b">
        <v>0</v>
      </c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</row>
    <row r="47" ht="17.25" customHeight="1">
      <c r="A47" s="121"/>
      <c r="B47" s="121"/>
      <c r="C47" s="194"/>
      <c r="D47" s="46"/>
      <c r="E47" s="46"/>
      <c r="F47" s="46"/>
      <c r="G47" s="46"/>
      <c r="H47" s="47"/>
      <c r="I47" s="195" t="b">
        <v>0</v>
      </c>
      <c r="J47" s="196"/>
      <c r="K47" s="46"/>
      <c r="L47" s="46"/>
      <c r="M47" s="46"/>
      <c r="N47" s="46"/>
      <c r="O47" s="47"/>
      <c r="P47" s="197" t="b">
        <v>0</v>
      </c>
      <c r="Q47" s="198"/>
      <c r="R47" s="46"/>
      <c r="S47" s="46"/>
      <c r="T47" s="46"/>
      <c r="U47" s="46"/>
      <c r="V47" s="47"/>
      <c r="W47" s="199" t="b">
        <v>0</v>
      </c>
      <c r="X47" s="200"/>
      <c r="Y47" s="46"/>
      <c r="Z47" s="46"/>
      <c r="AA47" s="46"/>
      <c r="AB47" s="46"/>
      <c r="AC47" s="47"/>
      <c r="AD47" s="201" t="b">
        <v>0</v>
      </c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</row>
    <row r="48" ht="17.25" customHeight="1">
      <c r="A48" s="121"/>
      <c r="B48" s="121"/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</row>
    <row r="49" ht="17.25" customHeight="1">
      <c r="A49" s="121"/>
      <c r="B49" s="136" t="s">
        <v>60</v>
      </c>
      <c r="C49" s="204"/>
      <c r="D49" s="50"/>
      <c r="E49" s="50"/>
      <c r="F49" s="50"/>
      <c r="G49" s="50"/>
      <c r="H49" s="50"/>
      <c r="I49" s="51"/>
      <c r="J49" s="204"/>
      <c r="K49" s="50"/>
      <c r="L49" s="50"/>
      <c r="M49" s="50"/>
      <c r="N49" s="50"/>
      <c r="O49" s="50"/>
      <c r="P49" s="51"/>
      <c r="Q49" s="204"/>
      <c r="R49" s="50"/>
      <c r="S49" s="50"/>
      <c r="T49" s="50"/>
      <c r="U49" s="50"/>
      <c r="V49" s="50"/>
      <c r="W49" s="51"/>
      <c r="X49" s="204"/>
      <c r="Y49" s="50"/>
      <c r="Z49" s="50"/>
      <c r="AA49" s="50"/>
      <c r="AB49" s="50"/>
      <c r="AC49" s="50"/>
      <c r="AD49" s="5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</row>
    <row r="50" ht="17.25" customHeight="1">
      <c r="A50" s="121"/>
      <c r="B50" s="205"/>
      <c r="C50" s="206"/>
      <c r="D50" s="55"/>
      <c r="E50" s="55"/>
      <c r="F50" s="55"/>
      <c r="G50" s="55"/>
      <c r="H50" s="55"/>
      <c r="I50" s="56"/>
      <c r="J50" s="206"/>
      <c r="K50" s="55"/>
      <c r="L50" s="55"/>
      <c r="M50" s="55"/>
      <c r="N50" s="55"/>
      <c r="O50" s="55"/>
      <c r="P50" s="56"/>
      <c r="Q50" s="206"/>
      <c r="R50" s="55"/>
      <c r="S50" s="55"/>
      <c r="T50" s="55"/>
      <c r="U50" s="55"/>
      <c r="V50" s="55"/>
      <c r="W50" s="56"/>
      <c r="X50" s="206"/>
      <c r="Y50" s="55"/>
      <c r="Z50" s="55"/>
      <c r="AA50" s="55"/>
      <c r="AB50" s="55"/>
      <c r="AC50" s="55"/>
      <c r="AD50" s="56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</row>
    <row r="51" ht="17.25" customHeight="1">
      <c r="A51" s="121"/>
      <c r="B51" s="86"/>
      <c r="C51" s="207"/>
      <c r="D51" s="60"/>
      <c r="E51" s="60"/>
      <c r="F51" s="60"/>
      <c r="G51" s="60"/>
      <c r="H51" s="60"/>
      <c r="I51" s="61"/>
      <c r="J51" s="207"/>
      <c r="K51" s="60"/>
      <c r="L51" s="60"/>
      <c r="M51" s="60"/>
      <c r="N51" s="60"/>
      <c r="O51" s="60"/>
      <c r="P51" s="61"/>
      <c r="Q51" s="207"/>
      <c r="R51" s="60"/>
      <c r="S51" s="60"/>
      <c r="T51" s="60"/>
      <c r="U51" s="60"/>
      <c r="V51" s="60"/>
      <c r="W51" s="61"/>
      <c r="X51" s="207"/>
      <c r="Y51" s="60"/>
      <c r="Z51" s="60"/>
      <c r="AA51" s="60"/>
      <c r="AB51" s="60"/>
      <c r="AC51" s="60"/>
      <c r="AD51" s="6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</row>
    <row r="52" ht="17.25" customHeight="1">
      <c r="A52" s="121"/>
      <c r="B52" s="121"/>
      <c r="C52" s="208"/>
      <c r="I52" s="170"/>
      <c r="J52" s="208"/>
      <c r="P52" s="170"/>
      <c r="Q52" s="208"/>
      <c r="W52" s="170"/>
      <c r="X52" s="208"/>
      <c r="AD52" s="170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</row>
    <row r="53" ht="17.25" customHeight="1">
      <c r="A53" s="121"/>
      <c r="B53" s="121"/>
      <c r="C53" s="121"/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</row>
    <row r="54" ht="17.25" customHeight="1">
      <c r="A54" s="121"/>
      <c r="B54" s="62" t="s">
        <v>61</v>
      </c>
      <c r="C54" s="209" t="s">
        <v>62</v>
      </c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7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</row>
    <row r="55" ht="17.25" customHeight="1">
      <c r="A55" s="121"/>
      <c r="B55" s="43"/>
      <c r="C55" s="210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7"/>
      <c r="P55" s="211" t="b">
        <v>0</v>
      </c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</row>
    <row r="56" ht="17.25" customHeight="1">
      <c r="A56" s="121"/>
      <c r="B56" s="212"/>
      <c r="C56" s="210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7"/>
      <c r="P56" s="211" t="b">
        <v>0</v>
      </c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</row>
    <row r="57" ht="17.25" customHeight="1">
      <c r="A57" s="121"/>
      <c r="B57" s="212"/>
      <c r="C57" s="210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7"/>
      <c r="P57" s="211" t="b">
        <v>0</v>
      </c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</row>
    <row r="58" ht="17.25" customHeight="1">
      <c r="A58" s="121"/>
      <c r="B58" s="212"/>
      <c r="C58" s="210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7"/>
      <c r="P58" s="211" t="b">
        <v>0</v>
      </c>
      <c r="Q58" s="121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  <c r="AL58" s="121"/>
      <c r="AM58" s="121"/>
      <c r="AN58" s="121"/>
    </row>
    <row r="59" ht="17.25" customHeight="1">
      <c r="A59" s="121"/>
      <c r="B59" s="212"/>
      <c r="C59" s="210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7"/>
      <c r="P59" s="211" t="b">
        <v>0</v>
      </c>
      <c r="Q59" s="121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1"/>
      <c r="AM59" s="121"/>
      <c r="AN59" s="121"/>
    </row>
    <row r="60" ht="17.25" customHeight="1">
      <c r="A60" s="121"/>
      <c r="B60" s="121"/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  <c r="AE60" s="121"/>
      <c r="AF60" s="121"/>
      <c r="AG60" s="121"/>
      <c r="AH60" s="121"/>
      <c r="AI60" s="121"/>
      <c r="AJ60" s="121"/>
      <c r="AK60" s="121"/>
      <c r="AL60" s="121"/>
      <c r="AM60" s="121"/>
      <c r="AN60" s="121"/>
    </row>
    <row r="61" ht="17.25" hidden="1" customHeight="1">
      <c r="A61" s="121"/>
      <c r="B61" s="121"/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1"/>
      <c r="AL61" s="121"/>
      <c r="AM61" s="121"/>
      <c r="AN61" s="121"/>
    </row>
    <row r="62" ht="17.25" hidden="1" customHeight="1">
      <c r="A62" s="121"/>
      <c r="B62" s="213">
        <f>COUNTIF($I$43:$I$47, true)</f>
        <v>0</v>
      </c>
      <c r="C62" s="214" t="str">
        <f t="array" ref="C62:H66">$C$43:$H$47</f>
        <v/>
      </c>
      <c r="D62" s="214"/>
      <c r="E62" s="214"/>
      <c r="F62" s="214"/>
      <c r="G62" s="214"/>
      <c r="H62" s="214"/>
      <c r="I62" s="213">
        <f t="array" ref="I62">COUNTA(UNIQUE($C$62:$C$140))</f>
        <v>0</v>
      </c>
      <c r="J62" s="215">
        <f>sum($B$62,$B$78,$B$110,$B$126)</f>
        <v>0</v>
      </c>
      <c r="K62" s="213">
        <f>sum(COUNTA($I$43:$I$47),COUNTA($P$43:$P$47),COUNTA($W$43:$W$47),COUNTA($AD$43:$AD$47),COUNTA($P$55:$P$59))</f>
        <v>25</v>
      </c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121"/>
      <c r="AK62" s="121"/>
      <c r="AL62" s="121"/>
      <c r="AM62" s="121"/>
      <c r="AN62" s="121"/>
    </row>
    <row r="63" ht="17.25" hidden="1" customHeight="1">
      <c r="A63" s="121"/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 s="121"/>
      <c r="AH63" s="121"/>
      <c r="AI63" s="121"/>
      <c r="AJ63" s="121"/>
      <c r="AK63" s="121"/>
      <c r="AL63" s="121"/>
      <c r="AM63" s="121"/>
      <c r="AN63" s="121"/>
    </row>
    <row r="64" ht="17.25" hidden="1" customHeight="1">
      <c r="A64" s="121"/>
      <c r="B64" s="214"/>
      <c r="C64" s="214"/>
      <c r="D64" s="214"/>
      <c r="E64" s="214"/>
      <c r="F64" s="214"/>
      <c r="G64" s="214"/>
      <c r="H64" s="214"/>
      <c r="I64" s="214"/>
      <c r="J64" s="214"/>
      <c r="K64" s="214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121"/>
      <c r="AK64" s="121"/>
      <c r="AL64" s="121"/>
      <c r="AM64" s="121"/>
      <c r="AN64" s="121"/>
    </row>
    <row r="65" ht="17.25" hidden="1" customHeight="1">
      <c r="A65" s="121"/>
      <c r="B65" s="214"/>
      <c r="C65" s="214"/>
      <c r="D65" s="214"/>
      <c r="E65" s="214"/>
      <c r="F65" s="214"/>
      <c r="G65" s="214"/>
      <c r="H65" s="214"/>
      <c r="I65" s="214"/>
      <c r="J65" s="214"/>
      <c r="K65" s="214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1"/>
      <c r="AI65" s="121"/>
      <c r="AJ65" s="121"/>
      <c r="AK65" s="121"/>
      <c r="AL65" s="121"/>
      <c r="AM65" s="121"/>
      <c r="AN65" s="121"/>
    </row>
    <row r="66" ht="17.25" hidden="1" customHeight="1">
      <c r="A66" s="121"/>
      <c r="B66" s="214"/>
      <c r="C66" s="214"/>
      <c r="D66" s="214"/>
      <c r="E66" s="214"/>
      <c r="F66" s="214"/>
      <c r="G66" s="214"/>
      <c r="H66" s="214"/>
      <c r="I66" s="214"/>
      <c r="J66" s="214"/>
      <c r="K66" s="214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  <c r="AA66" s="121"/>
      <c r="AB66" s="121"/>
      <c r="AC66" s="121"/>
      <c r="AD66" s="121"/>
      <c r="AE66" s="121"/>
      <c r="AF66" s="121"/>
      <c r="AG66" s="121"/>
      <c r="AH66" s="121"/>
      <c r="AI66" s="121"/>
      <c r="AJ66" s="121"/>
      <c r="AK66" s="121"/>
      <c r="AL66" s="121"/>
      <c r="AM66" s="121"/>
      <c r="AN66" s="121"/>
    </row>
    <row r="67" ht="17.25" hidden="1" customHeight="1">
      <c r="A67" s="121"/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1"/>
      <c r="AJ67" s="121"/>
      <c r="AK67" s="121"/>
      <c r="AL67" s="121"/>
      <c r="AM67" s="121"/>
      <c r="AN67" s="121"/>
    </row>
    <row r="68" ht="17.25" hidden="1" customHeight="1">
      <c r="A68" s="121"/>
      <c r="B68" s="214"/>
      <c r="C68" s="214"/>
      <c r="D68" s="214"/>
      <c r="E68" s="214"/>
      <c r="F68" s="214"/>
      <c r="G68" s="214"/>
      <c r="H68" s="214"/>
      <c r="I68" s="214"/>
      <c r="J68" s="214"/>
      <c r="K68" s="214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  <c r="AA68" s="121"/>
      <c r="AB68" s="121"/>
      <c r="AC68" s="121"/>
      <c r="AD68" s="121"/>
      <c r="AE68" s="121"/>
      <c r="AF68" s="121"/>
      <c r="AG68" s="121"/>
      <c r="AH68" s="121"/>
      <c r="AI68" s="121"/>
      <c r="AJ68" s="121"/>
      <c r="AK68" s="121"/>
      <c r="AL68" s="121"/>
      <c r="AM68" s="121"/>
      <c r="AN68" s="121"/>
    </row>
    <row r="69" ht="17.25" hidden="1" customHeight="1">
      <c r="A69" s="121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  <c r="AC69" s="121"/>
      <c r="AD69" s="121"/>
      <c r="AE69" s="121"/>
      <c r="AF69" s="121"/>
      <c r="AG69" s="121"/>
      <c r="AH69" s="121"/>
      <c r="AI69" s="121"/>
      <c r="AJ69" s="121"/>
      <c r="AK69" s="121"/>
      <c r="AL69" s="121"/>
      <c r="AM69" s="121"/>
      <c r="AN69" s="121"/>
    </row>
    <row r="70" ht="17.25" hidden="1" customHeight="1">
      <c r="A70" s="121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  <c r="AC70" s="121"/>
      <c r="AD70" s="121"/>
      <c r="AE70" s="121"/>
      <c r="AF70" s="121"/>
      <c r="AG70" s="121"/>
      <c r="AH70" s="121"/>
      <c r="AI70" s="121"/>
      <c r="AJ70" s="121"/>
      <c r="AK70" s="121"/>
      <c r="AL70" s="121"/>
      <c r="AM70" s="121"/>
      <c r="AN70" s="121"/>
    </row>
    <row r="71" ht="17.25" hidden="1" customHeight="1">
      <c r="A71" s="121"/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  <c r="AD71" s="121"/>
      <c r="AE71" s="121"/>
      <c r="AF71" s="121"/>
      <c r="AG71" s="121"/>
      <c r="AH71" s="121"/>
      <c r="AI71" s="121"/>
      <c r="AJ71" s="121"/>
      <c r="AK71" s="121"/>
      <c r="AL71" s="121"/>
      <c r="AM71" s="121"/>
      <c r="AN71" s="121"/>
    </row>
    <row r="72" ht="17.25" hidden="1" customHeight="1">
      <c r="A72" s="121"/>
      <c r="B72" s="214"/>
      <c r="C72" s="214"/>
      <c r="D72" s="214"/>
      <c r="E72" s="214"/>
      <c r="F72" s="214"/>
      <c r="G72" s="214"/>
      <c r="H72" s="214"/>
      <c r="I72" s="214"/>
      <c r="J72" s="214"/>
      <c r="K72" s="214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  <c r="AD72" s="121"/>
      <c r="AE72" s="121"/>
      <c r="AF72" s="121"/>
      <c r="AG72" s="121"/>
      <c r="AH72" s="121"/>
      <c r="AI72" s="121"/>
      <c r="AJ72" s="121"/>
      <c r="AK72" s="121"/>
      <c r="AL72" s="121"/>
      <c r="AM72" s="121"/>
      <c r="AN72" s="121"/>
    </row>
    <row r="73" ht="17.25" hidden="1" customHeight="1">
      <c r="A73" s="121"/>
      <c r="B73" s="214"/>
      <c r="C73" s="214"/>
      <c r="D73" s="214"/>
      <c r="E73" s="214"/>
      <c r="F73" s="214"/>
      <c r="G73" s="214"/>
      <c r="H73" s="214"/>
      <c r="I73" s="214"/>
      <c r="J73" s="214"/>
      <c r="K73" s="214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  <c r="AA73" s="121"/>
      <c r="AB73" s="121"/>
      <c r="AC73" s="121"/>
      <c r="AD73" s="121"/>
      <c r="AE73" s="121"/>
      <c r="AF73" s="121"/>
      <c r="AG73" s="121"/>
      <c r="AH73" s="121"/>
      <c r="AI73" s="121"/>
      <c r="AJ73" s="121"/>
      <c r="AK73" s="121"/>
      <c r="AL73" s="121"/>
      <c r="AM73" s="121"/>
      <c r="AN73" s="121"/>
    </row>
    <row r="74" ht="17.25" hidden="1" customHeight="1">
      <c r="A74" s="121"/>
      <c r="B74" s="214"/>
      <c r="C74" s="214"/>
      <c r="D74" s="214"/>
      <c r="E74" s="214"/>
      <c r="F74" s="214"/>
      <c r="G74" s="214"/>
      <c r="H74" s="214"/>
      <c r="I74" s="214"/>
      <c r="J74" s="214"/>
      <c r="K74" s="214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  <c r="AD74" s="121"/>
      <c r="AE74" s="121"/>
      <c r="AF74" s="121"/>
      <c r="AG74" s="121"/>
      <c r="AH74" s="121"/>
      <c r="AI74" s="121"/>
      <c r="AJ74" s="121"/>
      <c r="AK74" s="121"/>
      <c r="AL74" s="121"/>
      <c r="AM74" s="121"/>
      <c r="AN74" s="121"/>
    </row>
    <row r="75" ht="17.25" hidden="1" customHeight="1">
      <c r="A75" s="121"/>
      <c r="B75" s="214"/>
      <c r="C75" s="214"/>
      <c r="D75" s="214"/>
      <c r="E75" s="214"/>
      <c r="F75" s="214"/>
      <c r="G75" s="214"/>
      <c r="H75" s="214"/>
      <c r="I75" s="214"/>
      <c r="J75" s="214"/>
      <c r="K75" s="214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  <c r="AD75" s="121"/>
      <c r="AE75" s="121"/>
      <c r="AF75" s="121"/>
      <c r="AG75" s="121"/>
      <c r="AH75" s="121"/>
      <c r="AI75" s="121"/>
      <c r="AJ75" s="121"/>
      <c r="AK75" s="121"/>
      <c r="AL75" s="121"/>
      <c r="AM75" s="121"/>
      <c r="AN75" s="121"/>
    </row>
    <row r="76" ht="17.25" hidden="1" customHeight="1">
      <c r="A76" s="121"/>
      <c r="B76" s="214"/>
      <c r="C76" s="214"/>
      <c r="D76" s="214"/>
      <c r="E76" s="214"/>
      <c r="F76" s="214"/>
      <c r="G76" s="214"/>
      <c r="H76" s="214"/>
      <c r="I76" s="214"/>
      <c r="J76" s="214"/>
      <c r="K76" s="214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  <c r="AC76" s="121"/>
      <c r="AD76" s="121"/>
      <c r="AE76" s="121"/>
      <c r="AF76" s="121"/>
      <c r="AG76" s="121"/>
      <c r="AH76" s="121"/>
      <c r="AI76" s="121"/>
      <c r="AJ76" s="121"/>
      <c r="AK76" s="121"/>
      <c r="AL76" s="121"/>
      <c r="AM76" s="121"/>
      <c r="AN76" s="121"/>
    </row>
    <row r="77" ht="17.25" hidden="1" customHeight="1">
      <c r="A77" s="121"/>
      <c r="B77" s="214"/>
      <c r="C77" s="214"/>
      <c r="D77" s="214"/>
      <c r="E77" s="214"/>
      <c r="F77" s="214"/>
      <c r="G77" s="214"/>
      <c r="H77" s="214"/>
      <c r="I77" s="214"/>
      <c r="J77" s="214"/>
      <c r="K77" s="214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  <c r="AD77" s="121"/>
      <c r="AE77" s="121"/>
      <c r="AF77" s="121"/>
      <c r="AG77" s="121"/>
      <c r="AH77" s="121"/>
      <c r="AI77" s="121"/>
      <c r="AJ77" s="121"/>
      <c r="AK77" s="121"/>
      <c r="AL77" s="121"/>
      <c r="AM77" s="121"/>
      <c r="AN77" s="121"/>
    </row>
    <row r="78" ht="17.25" hidden="1" customHeight="1">
      <c r="A78" s="121"/>
      <c r="B78" s="213">
        <f>COUNTIF($P$43:$P$47, true)</f>
        <v>0</v>
      </c>
      <c r="C78" s="214" t="str">
        <f t="array" ref="C78:H82">$J$43:$O$47</f>
        <v/>
      </c>
      <c r="D78" s="214"/>
      <c r="E78" s="214"/>
      <c r="F78" s="214"/>
      <c r="G78" s="214"/>
      <c r="H78" s="214"/>
      <c r="I78" s="214"/>
      <c r="J78" s="214"/>
      <c r="K78" s="214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  <c r="AD78" s="121"/>
      <c r="AE78" s="121"/>
      <c r="AF78" s="121"/>
      <c r="AG78" s="121"/>
      <c r="AH78" s="121"/>
      <c r="AI78" s="121"/>
      <c r="AJ78" s="121"/>
      <c r="AK78" s="121"/>
      <c r="AL78" s="121"/>
      <c r="AM78" s="121"/>
      <c r="AN78" s="121"/>
    </row>
    <row r="79" ht="17.25" hidden="1" customHeight="1">
      <c r="A79" s="121"/>
      <c r="B79" s="214"/>
      <c r="C79" s="214"/>
      <c r="D79" s="214"/>
      <c r="E79" s="214"/>
      <c r="F79" s="214"/>
      <c r="G79" s="214"/>
      <c r="H79" s="214"/>
      <c r="I79" s="214"/>
      <c r="J79" s="214"/>
      <c r="K79" s="214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  <c r="AC79" s="121"/>
      <c r="AD79" s="121"/>
      <c r="AE79" s="121"/>
      <c r="AF79" s="121"/>
      <c r="AG79" s="121"/>
      <c r="AH79" s="121"/>
      <c r="AI79" s="121"/>
      <c r="AJ79" s="121"/>
      <c r="AK79" s="121"/>
      <c r="AL79" s="121"/>
      <c r="AM79" s="121"/>
      <c r="AN79" s="121"/>
    </row>
    <row r="80" ht="17.25" hidden="1" customHeight="1">
      <c r="A80" s="121"/>
      <c r="B80" s="214"/>
      <c r="C80" s="214"/>
      <c r="D80" s="214"/>
      <c r="E80" s="214"/>
      <c r="F80" s="214"/>
      <c r="G80" s="214"/>
      <c r="H80" s="214"/>
      <c r="I80" s="214"/>
      <c r="J80" s="214"/>
      <c r="K80" s="214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  <c r="AA80" s="121"/>
      <c r="AB80" s="121"/>
      <c r="AC80" s="121"/>
      <c r="AD80" s="121"/>
      <c r="AE80" s="121"/>
      <c r="AF80" s="121"/>
      <c r="AG80" s="121"/>
      <c r="AH80" s="121"/>
      <c r="AI80" s="121"/>
      <c r="AJ80" s="121"/>
      <c r="AK80" s="121"/>
      <c r="AL80" s="121"/>
      <c r="AM80" s="121"/>
      <c r="AN80" s="121"/>
    </row>
    <row r="81" ht="17.25" hidden="1" customHeight="1">
      <c r="A81" s="121"/>
      <c r="B81" s="214"/>
      <c r="C81" s="214"/>
      <c r="D81" s="214"/>
      <c r="E81" s="214"/>
      <c r="F81" s="214"/>
      <c r="G81" s="214"/>
      <c r="H81" s="214"/>
      <c r="I81" s="214"/>
      <c r="J81" s="214"/>
      <c r="K81" s="214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1"/>
      <c r="AG81" s="121"/>
      <c r="AH81" s="121"/>
      <c r="AI81" s="121"/>
      <c r="AJ81" s="121"/>
      <c r="AK81" s="121"/>
      <c r="AL81" s="121"/>
      <c r="AM81" s="121"/>
      <c r="AN81" s="121"/>
    </row>
    <row r="82" ht="17.25" hidden="1" customHeight="1">
      <c r="A82" s="121"/>
      <c r="B82" s="214"/>
      <c r="C82" s="214"/>
      <c r="D82" s="214"/>
      <c r="E82" s="214"/>
      <c r="F82" s="214"/>
      <c r="G82" s="214"/>
      <c r="H82" s="214"/>
      <c r="I82" s="214"/>
      <c r="J82" s="214"/>
      <c r="K82" s="214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</row>
    <row r="83" ht="17.25" hidden="1" customHeight="1">
      <c r="A83" s="121"/>
      <c r="B83" s="214"/>
      <c r="C83" s="214"/>
      <c r="D83" s="214"/>
      <c r="E83" s="214"/>
      <c r="F83" s="214"/>
      <c r="G83" s="214"/>
      <c r="H83" s="214"/>
      <c r="I83" s="214"/>
      <c r="J83" s="214"/>
      <c r="K83" s="214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</row>
    <row r="84" ht="17.25" hidden="1" customHeight="1">
      <c r="A84" s="121"/>
      <c r="B84" s="214"/>
      <c r="C84" s="214"/>
      <c r="D84" s="214"/>
      <c r="E84" s="214"/>
      <c r="F84" s="214"/>
      <c r="G84" s="214"/>
      <c r="H84" s="214"/>
      <c r="I84" s="214"/>
      <c r="J84" s="214"/>
      <c r="K84" s="214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1"/>
      <c r="AE84" s="121"/>
      <c r="AF84" s="121"/>
      <c r="AG84" s="121"/>
      <c r="AH84" s="121"/>
      <c r="AI84" s="121"/>
      <c r="AJ84" s="121"/>
      <c r="AK84" s="121"/>
      <c r="AL84" s="121"/>
      <c r="AM84" s="121"/>
      <c r="AN84" s="121"/>
    </row>
    <row r="85" ht="17.25" hidden="1" customHeight="1">
      <c r="A85" s="121"/>
      <c r="B85" s="214"/>
      <c r="C85" s="214"/>
      <c r="D85" s="214"/>
      <c r="E85" s="214"/>
      <c r="F85" s="214"/>
      <c r="G85" s="214"/>
      <c r="H85" s="214"/>
      <c r="I85" s="214"/>
      <c r="J85" s="214"/>
      <c r="K85" s="214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1"/>
      <c r="AL85" s="121"/>
      <c r="AM85" s="121"/>
      <c r="AN85" s="121"/>
    </row>
    <row r="86" ht="17.25" hidden="1" customHeight="1">
      <c r="A86" s="121"/>
      <c r="B86" s="214"/>
      <c r="C86" s="214"/>
      <c r="D86" s="214"/>
      <c r="E86" s="214"/>
      <c r="F86" s="214"/>
      <c r="G86" s="214"/>
      <c r="H86" s="214"/>
      <c r="I86" s="214"/>
      <c r="J86" s="214"/>
      <c r="K86" s="214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</row>
    <row r="87" ht="17.25" hidden="1" customHeight="1">
      <c r="A87" s="121"/>
      <c r="B87" s="214"/>
      <c r="C87" s="214"/>
      <c r="D87" s="214"/>
      <c r="E87" s="214"/>
      <c r="F87" s="214"/>
      <c r="G87" s="214"/>
      <c r="H87" s="214"/>
      <c r="I87" s="214"/>
      <c r="J87" s="214"/>
      <c r="K87" s="214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</row>
    <row r="88" ht="17.25" hidden="1" customHeight="1">
      <c r="A88" s="121"/>
      <c r="B88" s="214"/>
      <c r="C88" s="214"/>
      <c r="D88" s="214"/>
      <c r="E88" s="214"/>
      <c r="F88" s="214"/>
      <c r="G88" s="214"/>
      <c r="H88" s="214"/>
      <c r="I88" s="214"/>
      <c r="J88" s="214"/>
      <c r="K88" s="214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</row>
    <row r="89" ht="17.25" hidden="1" customHeight="1">
      <c r="A89" s="121"/>
      <c r="B89" s="214"/>
      <c r="C89" s="214"/>
      <c r="D89" s="214"/>
      <c r="E89" s="214"/>
      <c r="F89" s="214"/>
      <c r="G89" s="214"/>
      <c r="H89" s="214"/>
      <c r="I89" s="214"/>
      <c r="J89" s="214"/>
      <c r="K89" s="214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</row>
    <row r="90" ht="17.25" hidden="1" customHeight="1">
      <c r="A90" s="121"/>
      <c r="B90" s="214"/>
      <c r="C90" s="214"/>
      <c r="D90" s="214"/>
      <c r="E90" s="214"/>
      <c r="F90" s="214"/>
      <c r="G90" s="214"/>
      <c r="H90" s="214"/>
      <c r="I90" s="214"/>
      <c r="J90" s="214"/>
      <c r="K90" s="214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</row>
    <row r="91" ht="17.25" hidden="1" customHeight="1">
      <c r="A91" s="121"/>
      <c r="B91" s="214"/>
      <c r="C91" s="214"/>
      <c r="D91" s="214"/>
      <c r="E91" s="214"/>
      <c r="F91" s="214"/>
      <c r="G91" s="214"/>
      <c r="H91" s="214"/>
      <c r="I91" s="214"/>
      <c r="J91" s="214"/>
      <c r="K91" s="214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</row>
    <row r="92" ht="17.25" hidden="1" customHeight="1">
      <c r="A92" s="121"/>
      <c r="B92" s="214"/>
      <c r="C92" s="214"/>
      <c r="D92" s="214"/>
      <c r="E92" s="214"/>
      <c r="F92" s="214"/>
      <c r="G92" s="214"/>
      <c r="H92" s="214"/>
      <c r="I92" s="214"/>
      <c r="J92" s="214"/>
      <c r="K92" s="214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</row>
    <row r="93" ht="17.25" hidden="1" customHeight="1">
      <c r="A93" s="121"/>
      <c r="B93" s="214"/>
      <c r="C93" s="214"/>
      <c r="D93" s="214"/>
      <c r="E93" s="214"/>
      <c r="F93" s="214"/>
      <c r="G93" s="214"/>
      <c r="H93" s="214"/>
      <c r="I93" s="214"/>
      <c r="J93" s="214"/>
      <c r="K93" s="214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</row>
    <row r="94" ht="17.25" hidden="1" customHeight="1">
      <c r="A94" s="121"/>
      <c r="B94" s="213">
        <f>COUNTIF($W$43:$W$47, true)</f>
        <v>0</v>
      </c>
      <c r="C94" s="214" t="str">
        <f t="array" ref="C94:H98">$Q$43:$V$47</f>
        <v/>
      </c>
      <c r="D94" s="214"/>
      <c r="E94" s="214"/>
      <c r="F94" s="214"/>
      <c r="G94" s="214"/>
      <c r="H94" s="214"/>
      <c r="I94" s="214"/>
      <c r="J94" s="214"/>
      <c r="K94" s="214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</row>
    <row r="95" ht="17.25" hidden="1" customHeight="1">
      <c r="A95" s="121"/>
      <c r="B95" s="214"/>
      <c r="C95" s="214"/>
      <c r="D95" s="214"/>
      <c r="E95" s="214"/>
      <c r="F95" s="214"/>
      <c r="G95" s="214"/>
      <c r="H95" s="214"/>
      <c r="I95" s="214"/>
      <c r="J95" s="214"/>
      <c r="K95" s="214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</row>
    <row r="96" ht="17.25" hidden="1" customHeight="1">
      <c r="A96" s="121"/>
      <c r="B96" s="214"/>
      <c r="C96" s="214"/>
      <c r="D96" s="214"/>
      <c r="E96" s="214"/>
      <c r="F96" s="214"/>
      <c r="G96" s="214"/>
      <c r="H96" s="214"/>
      <c r="I96" s="214"/>
      <c r="J96" s="214"/>
      <c r="K96" s="214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1"/>
      <c r="AH96" s="121"/>
      <c r="AI96" s="121"/>
      <c r="AJ96" s="121"/>
      <c r="AK96" s="121"/>
      <c r="AL96" s="121"/>
      <c r="AM96" s="121"/>
      <c r="AN96" s="121"/>
    </row>
    <row r="97" ht="17.25" hidden="1" customHeight="1">
      <c r="A97" s="121"/>
      <c r="B97" s="214"/>
      <c r="C97" s="214"/>
      <c r="D97" s="214"/>
      <c r="E97" s="214"/>
      <c r="F97" s="214"/>
      <c r="G97" s="214"/>
      <c r="H97" s="214"/>
      <c r="I97" s="214"/>
      <c r="J97" s="214"/>
      <c r="K97" s="214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  <c r="AA97" s="121"/>
      <c r="AB97" s="121"/>
      <c r="AC97" s="121"/>
      <c r="AD97" s="121"/>
      <c r="AE97" s="121"/>
      <c r="AF97" s="121"/>
      <c r="AG97" s="121"/>
      <c r="AH97" s="121"/>
      <c r="AI97" s="121"/>
      <c r="AJ97" s="121"/>
      <c r="AK97" s="121"/>
      <c r="AL97" s="121"/>
      <c r="AM97" s="121"/>
      <c r="AN97" s="121"/>
    </row>
    <row r="98" ht="17.25" hidden="1" customHeight="1">
      <c r="A98" s="121"/>
      <c r="B98" s="214"/>
      <c r="C98" s="214"/>
      <c r="D98" s="214"/>
      <c r="E98" s="214"/>
      <c r="F98" s="214"/>
      <c r="G98" s="214"/>
      <c r="H98" s="214"/>
      <c r="I98" s="214"/>
      <c r="J98" s="214"/>
      <c r="K98" s="214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1"/>
      <c r="AH98" s="121"/>
      <c r="AI98" s="121"/>
      <c r="AJ98" s="121"/>
      <c r="AK98" s="121"/>
      <c r="AL98" s="121"/>
      <c r="AM98" s="121"/>
      <c r="AN98" s="121"/>
    </row>
    <row r="99" ht="17.25" hidden="1" customHeight="1">
      <c r="A99" s="121"/>
      <c r="B99" s="214"/>
      <c r="C99" s="214"/>
      <c r="D99" s="214"/>
      <c r="E99" s="214"/>
      <c r="F99" s="214"/>
      <c r="G99" s="214"/>
      <c r="H99" s="214"/>
      <c r="I99" s="214"/>
      <c r="J99" s="214"/>
      <c r="K99" s="214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  <c r="AA99" s="121"/>
      <c r="AB99" s="121"/>
      <c r="AC99" s="121"/>
      <c r="AD99" s="121"/>
      <c r="AE99" s="121"/>
      <c r="AF99" s="121"/>
      <c r="AG99" s="121"/>
      <c r="AH99" s="121"/>
      <c r="AI99" s="121"/>
      <c r="AJ99" s="121"/>
      <c r="AK99" s="121"/>
      <c r="AL99" s="121"/>
      <c r="AM99" s="121"/>
      <c r="AN99" s="121"/>
    </row>
    <row r="100" ht="17.25" hidden="1" customHeight="1">
      <c r="A100" s="121"/>
      <c r="B100" s="214"/>
      <c r="C100" s="214"/>
      <c r="D100" s="214"/>
      <c r="E100" s="214"/>
      <c r="F100" s="214"/>
      <c r="G100" s="214"/>
      <c r="H100" s="214"/>
      <c r="I100" s="214"/>
      <c r="J100" s="214"/>
      <c r="K100" s="214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  <c r="AA100" s="121"/>
      <c r="AB100" s="121"/>
      <c r="AC100" s="121"/>
      <c r="AD100" s="121"/>
      <c r="AE100" s="121"/>
      <c r="AF100" s="121"/>
      <c r="AG100" s="121"/>
      <c r="AH100" s="121"/>
      <c r="AI100" s="121"/>
      <c r="AJ100" s="121"/>
      <c r="AK100" s="121"/>
      <c r="AL100" s="121"/>
      <c r="AM100" s="121"/>
      <c r="AN100" s="121"/>
    </row>
    <row r="101" ht="17.25" hidden="1" customHeight="1">
      <c r="A101" s="121"/>
      <c r="B101" s="214"/>
      <c r="C101" s="214"/>
      <c r="D101" s="214"/>
      <c r="E101" s="214"/>
      <c r="F101" s="214"/>
      <c r="G101" s="214"/>
      <c r="H101" s="214"/>
      <c r="I101" s="214"/>
      <c r="J101" s="214"/>
      <c r="K101" s="214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  <c r="AA101" s="121"/>
      <c r="AB101" s="121"/>
      <c r="AC101" s="121"/>
      <c r="AD101" s="121"/>
      <c r="AE101" s="121"/>
      <c r="AF101" s="121"/>
      <c r="AG101" s="121"/>
      <c r="AH101" s="121"/>
      <c r="AI101" s="121"/>
      <c r="AJ101" s="121"/>
      <c r="AK101" s="121"/>
      <c r="AL101" s="121"/>
      <c r="AM101" s="121"/>
      <c r="AN101" s="121"/>
    </row>
    <row r="102" ht="17.25" hidden="1" customHeight="1">
      <c r="A102" s="121"/>
      <c r="B102" s="214"/>
      <c r="C102" s="214"/>
      <c r="D102" s="214"/>
      <c r="E102" s="214"/>
      <c r="F102" s="214"/>
      <c r="G102" s="214"/>
      <c r="H102" s="214"/>
      <c r="I102" s="214"/>
      <c r="J102" s="214"/>
      <c r="K102" s="214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  <c r="AA102" s="121"/>
      <c r="AB102" s="121"/>
      <c r="AC102" s="121"/>
      <c r="AD102" s="121"/>
      <c r="AE102" s="121"/>
      <c r="AF102" s="121"/>
      <c r="AG102" s="121"/>
      <c r="AH102" s="121"/>
      <c r="AI102" s="121"/>
      <c r="AJ102" s="121"/>
      <c r="AK102" s="121"/>
      <c r="AL102" s="121"/>
      <c r="AM102" s="121"/>
      <c r="AN102" s="121"/>
    </row>
    <row r="103" ht="17.25" hidden="1" customHeight="1">
      <c r="A103" s="121"/>
      <c r="B103" s="214"/>
      <c r="C103" s="214"/>
      <c r="D103" s="214"/>
      <c r="E103" s="214"/>
      <c r="F103" s="214"/>
      <c r="G103" s="214"/>
      <c r="H103" s="214"/>
      <c r="I103" s="214"/>
      <c r="J103" s="214"/>
      <c r="K103" s="214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  <c r="AA103" s="121"/>
      <c r="AB103" s="121"/>
      <c r="AC103" s="121"/>
      <c r="AD103" s="121"/>
      <c r="AE103" s="121"/>
      <c r="AF103" s="121"/>
      <c r="AG103" s="121"/>
      <c r="AH103" s="121"/>
      <c r="AI103" s="121"/>
      <c r="AJ103" s="121"/>
      <c r="AK103" s="121"/>
      <c r="AL103" s="121"/>
      <c r="AM103" s="121"/>
      <c r="AN103" s="121"/>
    </row>
    <row r="104" ht="17.25" hidden="1" customHeight="1">
      <c r="A104" s="121"/>
      <c r="B104" s="214"/>
      <c r="C104" s="214"/>
      <c r="D104" s="214"/>
      <c r="E104" s="214"/>
      <c r="F104" s="214"/>
      <c r="G104" s="214"/>
      <c r="H104" s="214"/>
      <c r="I104" s="214"/>
      <c r="J104" s="214"/>
      <c r="K104" s="214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  <c r="AA104" s="121"/>
      <c r="AB104" s="121"/>
      <c r="AC104" s="121"/>
      <c r="AD104" s="121"/>
      <c r="AE104" s="121"/>
      <c r="AF104" s="121"/>
      <c r="AG104" s="121"/>
      <c r="AH104" s="121"/>
      <c r="AI104" s="121"/>
      <c r="AJ104" s="121"/>
      <c r="AK104" s="121"/>
      <c r="AL104" s="121"/>
      <c r="AM104" s="121"/>
      <c r="AN104" s="121"/>
    </row>
    <row r="105" ht="17.25" hidden="1" customHeight="1">
      <c r="A105" s="121"/>
      <c r="B105" s="214"/>
      <c r="C105" s="214"/>
      <c r="D105" s="214"/>
      <c r="E105" s="214"/>
      <c r="F105" s="214"/>
      <c r="G105" s="214"/>
      <c r="H105" s="214"/>
      <c r="I105" s="214"/>
      <c r="J105" s="214"/>
      <c r="K105" s="214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  <c r="AA105" s="121"/>
      <c r="AB105" s="121"/>
      <c r="AC105" s="121"/>
      <c r="AD105" s="121"/>
      <c r="AE105" s="121"/>
      <c r="AF105" s="121"/>
      <c r="AG105" s="121"/>
      <c r="AH105" s="121"/>
      <c r="AI105" s="121"/>
      <c r="AJ105" s="121"/>
      <c r="AK105" s="121"/>
      <c r="AL105" s="121"/>
      <c r="AM105" s="121"/>
      <c r="AN105" s="121"/>
    </row>
    <row r="106" ht="17.25" hidden="1" customHeight="1">
      <c r="A106" s="121"/>
      <c r="B106" s="214"/>
      <c r="C106" s="214"/>
      <c r="D106" s="214"/>
      <c r="E106" s="214"/>
      <c r="F106" s="214"/>
      <c r="G106" s="214"/>
      <c r="H106" s="214"/>
      <c r="I106" s="214"/>
      <c r="J106" s="214"/>
      <c r="K106" s="214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  <c r="AA106" s="121"/>
      <c r="AB106" s="121"/>
      <c r="AC106" s="121"/>
      <c r="AD106" s="121"/>
      <c r="AE106" s="121"/>
      <c r="AF106" s="121"/>
      <c r="AG106" s="121"/>
      <c r="AH106" s="121"/>
      <c r="AI106" s="121"/>
      <c r="AJ106" s="121"/>
      <c r="AK106" s="121"/>
      <c r="AL106" s="121"/>
      <c r="AM106" s="121"/>
      <c r="AN106" s="121"/>
    </row>
    <row r="107" ht="17.25" hidden="1" customHeight="1">
      <c r="A107" s="121"/>
      <c r="B107" s="214"/>
      <c r="C107" s="214"/>
      <c r="D107" s="214"/>
      <c r="E107" s="214"/>
      <c r="F107" s="214"/>
      <c r="G107" s="214"/>
      <c r="H107" s="214"/>
      <c r="I107" s="214"/>
      <c r="J107" s="214"/>
      <c r="K107" s="214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  <c r="AA107" s="121"/>
      <c r="AB107" s="121"/>
      <c r="AC107" s="121"/>
      <c r="AD107" s="121"/>
      <c r="AE107" s="121"/>
      <c r="AF107" s="121"/>
      <c r="AG107" s="121"/>
      <c r="AH107" s="121"/>
      <c r="AI107" s="121"/>
      <c r="AJ107" s="121"/>
      <c r="AK107" s="121"/>
      <c r="AL107" s="121"/>
      <c r="AM107" s="121"/>
      <c r="AN107" s="121"/>
    </row>
    <row r="108" ht="17.25" hidden="1" customHeight="1">
      <c r="A108" s="121"/>
      <c r="B108" s="214"/>
      <c r="C108" s="214"/>
      <c r="D108" s="214"/>
      <c r="E108" s="214"/>
      <c r="F108" s="214"/>
      <c r="G108" s="214"/>
      <c r="H108" s="214"/>
      <c r="I108" s="214"/>
      <c r="J108" s="214"/>
      <c r="K108" s="214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  <c r="AA108" s="121"/>
      <c r="AB108" s="121"/>
      <c r="AC108" s="121"/>
      <c r="AD108" s="121"/>
      <c r="AE108" s="121"/>
      <c r="AF108" s="121"/>
      <c r="AG108" s="121"/>
      <c r="AH108" s="121"/>
      <c r="AI108" s="121"/>
      <c r="AJ108" s="121"/>
      <c r="AK108" s="121"/>
      <c r="AL108" s="121"/>
      <c r="AM108" s="121"/>
      <c r="AN108" s="121"/>
    </row>
    <row r="109" ht="17.25" hidden="1" customHeight="1">
      <c r="A109" s="121"/>
      <c r="B109" s="214"/>
      <c r="C109" s="214"/>
      <c r="D109" s="214"/>
      <c r="E109" s="214"/>
      <c r="F109" s="214"/>
      <c r="G109" s="214"/>
      <c r="H109" s="214"/>
      <c r="I109" s="214"/>
      <c r="J109" s="214"/>
      <c r="K109" s="214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  <c r="AA109" s="121"/>
      <c r="AB109" s="121"/>
      <c r="AC109" s="121"/>
      <c r="AD109" s="121"/>
      <c r="AE109" s="121"/>
      <c r="AF109" s="121"/>
      <c r="AG109" s="121"/>
      <c r="AH109" s="121"/>
      <c r="AI109" s="121"/>
      <c r="AJ109" s="121"/>
      <c r="AK109" s="121"/>
      <c r="AL109" s="121"/>
      <c r="AM109" s="121"/>
      <c r="AN109" s="121"/>
    </row>
    <row r="110" ht="17.25" hidden="1" customHeight="1">
      <c r="A110" s="121"/>
      <c r="B110" s="213">
        <f>COUNTIF($AD$43:$AD$47, true)</f>
        <v>0</v>
      </c>
      <c r="C110" s="214" t="str">
        <f t="array" ref="C110:H114">$X$43:$AC$47</f>
        <v/>
      </c>
      <c r="D110" s="214"/>
      <c r="E110" s="214"/>
      <c r="F110" s="214"/>
      <c r="G110" s="214"/>
      <c r="H110" s="214"/>
      <c r="I110" s="214"/>
      <c r="J110" s="214"/>
      <c r="K110" s="214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121"/>
      <c r="AK110" s="121"/>
      <c r="AL110" s="121"/>
      <c r="AM110" s="121"/>
      <c r="AN110" s="121"/>
    </row>
    <row r="111" ht="17.25" hidden="1" customHeight="1">
      <c r="A111" s="121"/>
      <c r="B111" s="214"/>
      <c r="C111" s="214"/>
      <c r="D111" s="214"/>
      <c r="E111" s="214"/>
      <c r="F111" s="214"/>
      <c r="G111" s="214"/>
      <c r="H111" s="214"/>
      <c r="I111" s="214"/>
      <c r="J111" s="214"/>
      <c r="K111" s="214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  <c r="AA111" s="121"/>
      <c r="AB111" s="121"/>
      <c r="AC111" s="121"/>
      <c r="AD111" s="121"/>
      <c r="AE111" s="121"/>
      <c r="AF111" s="121"/>
      <c r="AG111" s="121"/>
      <c r="AH111" s="121"/>
      <c r="AI111" s="121"/>
      <c r="AJ111" s="121"/>
      <c r="AK111" s="121"/>
      <c r="AL111" s="121"/>
      <c r="AM111" s="121"/>
      <c r="AN111" s="121"/>
    </row>
    <row r="112" ht="17.25" hidden="1" customHeight="1">
      <c r="A112" s="121"/>
      <c r="B112" s="214"/>
      <c r="C112" s="214"/>
      <c r="D112" s="214"/>
      <c r="E112" s="214"/>
      <c r="F112" s="214"/>
      <c r="G112" s="214"/>
      <c r="H112" s="214"/>
      <c r="I112" s="214"/>
      <c r="J112" s="214"/>
      <c r="K112" s="214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  <c r="AA112" s="121"/>
      <c r="AB112" s="121"/>
      <c r="AC112" s="121"/>
      <c r="AD112" s="121"/>
      <c r="AE112" s="121"/>
      <c r="AF112" s="121"/>
      <c r="AG112" s="121"/>
      <c r="AH112" s="121"/>
      <c r="AI112" s="121"/>
      <c r="AJ112" s="121"/>
      <c r="AK112" s="121"/>
      <c r="AL112" s="121"/>
      <c r="AM112" s="121"/>
      <c r="AN112" s="121"/>
    </row>
    <row r="113" ht="17.25" hidden="1" customHeight="1">
      <c r="A113" s="121"/>
      <c r="B113" s="214"/>
      <c r="C113" s="214"/>
      <c r="D113" s="214"/>
      <c r="E113" s="214"/>
      <c r="F113" s="214"/>
      <c r="G113" s="214"/>
      <c r="H113" s="214"/>
      <c r="I113" s="214"/>
      <c r="J113" s="214"/>
      <c r="K113" s="214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  <c r="AA113" s="121"/>
      <c r="AB113" s="121"/>
      <c r="AC113" s="121"/>
      <c r="AD113" s="121"/>
      <c r="AE113" s="121"/>
      <c r="AF113" s="121"/>
      <c r="AG113" s="121"/>
      <c r="AH113" s="121"/>
      <c r="AI113" s="121"/>
      <c r="AJ113" s="121"/>
      <c r="AK113" s="121"/>
      <c r="AL113" s="121"/>
      <c r="AM113" s="121"/>
      <c r="AN113" s="121"/>
    </row>
    <row r="114" ht="17.25" hidden="1" customHeight="1">
      <c r="A114" s="121"/>
      <c r="B114" s="214"/>
      <c r="C114" s="214"/>
      <c r="D114" s="214"/>
      <c r="E114" s="214"/>
      <c r="F114" s="214"/>
      <c r="G114" s="214"/>
      <c r="H114" s="214"/>
      <c r="I114" s="214"/>
      <c r="J114" s="214"/>
      <c r="K114" s="214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  <c r="AA114" s="121"/>
      <c r="AB114" s="121"/>
      <c r="AC114" s="121"/>
      <c r="AD114" s="121"/>
      <c r="AE114" s="121"/>
      <c r="AF114" s="121"/>
      <c r="AG114" s="121"/>
      <c r="AH114" s="121"/>
      <c r="AI114" s="121"/>
      <c r="AJ114" s="121"/>
      <c r="AK114" s="121"/>
      <c r="AL114" s="121"/>
      <c r="AM114" s="121"/>
      <c r="AN114" s="121"/>
    </row>
    <row r="115" ht="17.25" hidden="1" customHeight="1">
      <c r="A115" s="121"/>
      <c r="B115" s="214"/>
      <c r="C115" s="214"/>
      <c r="D115" s="214"/>
      <c r="E115" s="214"/>
      <c r="F115" s="214"/>
      <c r="G115" s="214"/>
      <c r="H115" s="214"/>
      <c r="I115" s="214"/>
      <c r="J115" s="214"/>
      <c r="K115" s="214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  <c r="AA115" s="121"/>
      <c r="AB115" s="121"/>
      <c r="AC115" s="121"/>
      <c r="AD115" s="121"/>
      <c r="AE115" s="121"/>
      <c r="AF115" s="121"/>
      <c r="AG115" s="121"/>
      <c r="AH115" s="121"/>
      <c r="AI115" s="121"/>
      <c r="AJ115" s="121"/>
      <c r="AK115" s="121"/>
      <c r="AL115" s="121"/>
      <c r="AM115" s="121"/>
      <c r="AN115" s="121"/>
    </row>
    <row r="116" ht="17.25" hidden="1" customHeight="1">
      <c r="A116" s="121"/>
      <c r="B116" s="214"/>
      <c r="C116" s="214"/>
      <c r="D116" s="214"/>
      <c r="E116" s="214"/>
      <c r="F116" s="214"/>
      <c r="G116" s="214"/>
      <c r="H116" s="214"/>
      <c r="I116" s="214"/>
      <c r="J116" s="214"/>
      <c r="K116" s="214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  <c r="AA116" s="121"/>
      <c r="AB116" s="121"/>
      <c r="AC116" s="121"/>
      <c r="AD116" s="121"/>
      <c r="AE116" s="121"/>
      <c r="AF116" s="121"/>
      <c r="AG116" s="121"/>
      <c r="AH116" s="121"/>
      <c r="AI116" s="121"/>
      <c r="AJ116" s="121"/>
      <c r="AK116" s="121"/>
      <c r="AL116" s="121"/>
      <c r="AM116" s="121"/>
      <c r="AN116" s="121"/>
    </row>
    <row r="117" ht="17.25" hidden="1" customHeight="1">
      <c r="A117" s="121"/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121"/>
      <c r="AF117" s="121"/>
      <c r="AG117" s="121"/>
      <c r="AH117" s="121"/>
      <c r="AI117" s="121"/>
      <c r="AJ117" s="121"/>
      <c r="AK117" s="121"/>
      <c r="AL117" s="121"/>
      <c r="AM117" s="121"/>
      <c r="AN117" s="121"/>
    </row>
    <row r="118" ht="17.25" hidden="1" customHeight="1">
      <c r="A118" s="121"/>
      <c r="B118" s="214"/>
      <c r="C118" s="214"/>
      <c r="D118" s="214"/>
      <c r="E118" s="214"/>
      <c r="F118" s="214"/>
      <c r="G118" s="214"/>
      <c r="H118" s="214"/>
      <c r="I118" s="214"/>
      <c r="J118" s="214"/>
      <c r="K118" s="214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  <c r="AA118" s="121"/>
      <c r="AB118" s="121"/>
      <c r="AC118" s="121"/>
      <c r="AD118" s="121"/>
      <c r="AE118" s="121"/>
      <c r="AF118" s="121"/>
      <c r="AG118" s="121"/>
      <c r="AH118" s="121"/>
      <c r="AI118" s="121"/>
      <c r="AJ118" s="121"/>
      <c r="AK118" s="121"/>
      <c r="AL118" s="121"/>
      <c r="AM118" s="121"/>
      <c r="AN118" s="121"/>
    </row>
    <row r="119" ht="17.25" hidden="1" customHeight="1">
      <c r="A119" s="121"/>
      <c r="B119" s="214"/>
      <c r="C119" s="214"/>
      <c r="D119" s="214"/>
      <c r="E119" s="214"/>
      <c r="F119" s="214"/>
      <c r="G119" s="214"/>
      <c r="H119" s="214"/>
      <c r="I119" s="214"/>
      <c r="J119" s="214"/>
      <c r="K119" s="214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  <c r="AA119" s="121"/>
      <c r="AB119" s="121"/>
      <c r="AC119" s="121"/>
      <c r="AD119" s="121"/>
      <c r="AE119" s="121"/>
      <c r="AF119" s="121"/>
      <c r="AG119" s="121"/>
      <c r="AH119" s="121"/>
      <c r="AI119" s="121"/>
      <c r="AJ119" s="121"/>
      <c r="AK119" s="121"/>
      <c r="AL119" s="121"/>
      <c r="AM119" s="121"/>
      <c r="AN119" s="121"/>
    </row>
    <row r="120" ht="17.25" hidden="1" customHeight="1">
      <c r="A120" s="121"/>
      <c r="B120" s="214"/>
      <c r="C120" s="214"/>
      <c r="D120" s="214"/>
      <c r="E120" s="214"/>
      <c r="F120" s="214"/>
      <c r="G120" s="214"/>
      <c r="H120" s="214"/>
      <c r="I120" s="214"/>
      <c r="J120" s="214"/>
      <c r="K120" s="214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</row>
    <row r="121" ht="17.25" hidden="1" customHeight="1">
      <c r="A121" s="121"/>
      <c r="B121" s="214"/>
      <c r="C121" s="214"/>
      <c r="D121" s="214"/>
      <c r="E121" s="214"/>
      <c r="F121" s="214"/>
      <c r="G121" s="214"/>
      <c r="H121" s="214"/>
      <c r="I121" s="214"/>
      <c r="J121" s="214"/>
      <c r="K121" s="214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</row>
    <row r="122" ht="17.25" hidden="1" customHeight="1">
      <c r="A122" s="121"/>
      <c r="B122" s="214"/>
      <c r="C122" s="214"/>
      <c r="D122" s="214"/>
      <c r="E122" s="214"/>
      <c r="F122" s="214"/>
      <c r="G122" s="214"/>
      <c r="H122" s="214"/>
      <c r="I122" s="214"/>
      <c r="J122" s="214"/>
      <c r="K122" s="214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  <c r="AA122" s="121"/>
      <c r="AB122" s="121"/>
      <c r="AC122" s="121"/>
      <c r="AD122" s="121"/>
      <c r="AE122" s="121"/>
      <c r="AF122" s="121"/>
      <c r="AG122" s="121"/>
      <c r="AH122" s="121"/>
      <c r="AI122" s="121"/>
      <c r="AJ122" s="121"/>
      <c r="AK122" s="121"/>
      <c r="AL122" s="121"/>
      <c r="AM122" s="121"/>
      <c r="AN122" s="121"/>
    </row>
    <row r="123" ht="17.25" hidden="1" customHeight="1">
      <c r="A123" s="121"/>
      <c r="B123" s="214"/>
      <c r="C123" s="214"/>
      <c r="D123" s="214"/>
      <c r="E123" s="214"/>
      <c r="F123" s="214"/>
      <c r="G123" s="214"/>
      <c r="H123" s="214"/>
      <c r="I123" s="214"/>
      <c r="J123" s="214"/>
      <c r="K123" s="214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1"/>
      <c r="AL123" s="121"/>
      <c r="AM123" s="121"/>
      <c r="AN123" s="121"/>
    </row>
    <row r="124" ht="17.25" hidden="1" customHeight="1">
      <c r="A124" s="121"/>
      <c r="B124" s="214"/>
      <c r="C124" s="214"/>
      <c r="D124" s="214"/>
      <c r="E124" s="214"/>
      <c r="F124" s="214"/>
      <c r="G124" s="214"/>
      <c r="H124" s="214"/>
      <c r="I124" s="214"/>
      <c r="J124" s="214"/>
      <c r="K124" s="214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</row>
    <row r="125" ht="17.25" hidden="1" customHeight="1">
      <c r="A125" s="121"/>
      <c r="B125" s="214"/>
      <c r="C125" s="214"/>
      <c r="D125" s="214"/>
      <c r="E125" s="214"/>
      <c r="F125" s="214"/>
      <c r="G125" s="214"/>
      <c r="H125" s="214"/>
      <c r="I125" s="214"/>
      <c r="J125" s="214"/>
      <c r="K125" s="214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</row>
    <row r="126" ht="17.25" hidden="1" customHeight="1">
      <c r="A126" s="121"/>
      <c r="B126" s="213">
        <f>COUNTIF($P$55:$P$59, true)</f>
        <v>0</v>
      </c>
      <c r="C126" s="214" t="str">
        <f t="array" ref="C126:O130">$C$55:$O$59</f>
        <v/>
      </c>
      <c r="D126" s="214"/>
      <c r="E126" s="214"/>
      <c r="F126" s="214"/>
      <c r="G126" s="214"/>
      <c r="H126" s="214"/>
      <c r="I126" s="214"/>
      <c r="J126" s="214"/>
      <c r="K126" s="214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</row>
    <row r="127" ht="17.25" hidden="1" customHeight="1">
      <c r="A127" s="121"/>
      <c r="B127" s="214"/>
      <c r="C127" s="214"/>
      <c r="D127" s="214"/>
      <c r="E127" s="214"/>
      <c r="F127" s="214"/>
      <c r="G127" s="214"/>
      <c r="H127" s="214"/>
      <c r="I127" s="214"/>
      <c r="J127" s="214"/>
      <c r="K127" s="214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</row>
    <row r="128" ht="17.25" hidden="1" customHeight="1">
      <c r="A128" s="121"/>
      <c r="B128" s="214"/>
      <c r="C128" s="214"/>
      <c r="D128" s="214"/>
      <c r="E128" s="214"/>
      <c r="F128" s="214"/>
      <c r="G128" s="214"/>
      <c r="H128" s="214"/>
      <c r="I128" s="214"/>
      <c r="J128" s="214"/>
      <c r="K128" s="214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</row>
    <row r="129" ht="17.25" hidden="1" customHeight="1">
      <c r="A129" s="121"/>
      <c r="B129" s="214"/>
      <c r="C129" s="214"/>
      <c r="D129" s="214"/>
      <c r="E129" s="214"/>
      <c r="F129" s="214"/>
      <c r="G129" s="214"/>
      <c r="H129" s="214"/>
      <c r="I129" s="214"/>
      <c r="J129" s="214"/>
      <c r="K129" s="214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</row>
    <row r="130" ht="17.25" hidden="1" customHeight="1">
      <c r="A130" s="121"/>
      <c r="B130" s="214"/>
      <c r="C130" s="214"/>
      <c r="D130" s="214"/>
      <c r="E130" s="214"/>
      <c r="F130" s="214"/>
      <c r="G130" s="214"/>
      <c r="H130" s="214"/>
      <c r="I130" s="214"/>
      <c r="J130" s="214"/>
      <c r="K130" s="214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</row>
    <row r="131" ht="17.25" hidden="1" customHeight="1">
      <c r="A131" s="121"/>
      <c r="B131" s="214"/>
      <c r="C131" s="214"/>
      <c r="D131" s="214"/>
      <c r="E131" s="214"/>
      <c r="F131" s="214"/>
      <c r="G131" s="214"/>
      <c r="H131" s="214"/>
      <c r="I131" s="214"/>
      <c r="J131" s="214"/>
      <c r="K131" s="214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</row>
    <row r="132" ht="17.25" hidden="1" customHeight="1">
      <c r="A132" s="121"/>
      <c r="B132" s="214"/>
      <c r="C132" s="214"/>
      <c r="D132" s="214"/>
      <c r="E132" s="214"/>
      <c r="F132" s="214"/>
      <c r="G132" s="214"/>
      <c r="H132" s="214"/>
      <c r="I132" s="214"/>
      <c r="J132" s="214"/>
      <c r="K132" s="214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</row>
    <row r="133" ht="17.25" hidden="1" customHeight="1">
      <c r="A133" s="121"/>
      <c r="B133" s="214"/>
      <c r="C133" s="214"/>
      <c r="D133" s="214"/>
      <c r="E133" s="214"/>
      <c r="F133" s="214"/>
      <c r="G133" s="214"/>
      <c r="H133" s="214"/>
      <c r="I133" s="214"/>
      <c r="J133" s="214"/>
      <c r="K133" s="214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</row>
    <row r="134" ht="17.25" hidden="1" customHeight="1">
      <c r="A134" s="121"/>
      <c r="B134" s="214"/>
      <c r="C134" s="214"/>
      <c r="D134" s="214"/>
      <c r="E134" s="214"/>
      <c r="F134" s="214"/>
      <c r="G134" s="214"/>
      <c r="H134" s="214"/>
      <c r="I134" s="214"/>
      <c r="J134" s="214"/>
      <c r="K134" s="214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  <c r="AA134" s="121"/>
      <c r="AB134" s="121"/>
      <c r="AC134" s="121"/>
      <c r="AD134" s="121"/>
      <c r="AE134" s="121"/>
      <c r="AF134" s="121"/>
      <c r="AG134" s="121"/>
      <c r="AH134" s="121"/>
      <c r="AI134" s="121"/>
      <c r="AJ134" s="121"/>
      <c r="AK134" s="121"/>
      <c r="AL134" s="121"/>
      <c r="AM134" s="121"/>
      <c r="AN134" s="121"/>
    </row>
    <row r="135" ht="17.25" hidden="1" customHeight="1">
      <c r="A135" s="121"/>
      <c r="B135" s="214"/>
      <c r="C135" s="214"/>
      <c r="D135" s="214"/>
      <c r="E135" s="214"/>
      <c r="F135" s="214"/>
      <c r="G135" s="214"/>
      <c r="H135" s="214"/>
      <c r="I135" s="214"/>
      <c r="J135" s="214"/>
      <c r="K135" s="214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  <c r="AA135" s="121"/>
      <c r="AB135" s="121"/>
      <c r="AC135" s="121"/>
      <c r="AD135" s="121"/>
      <c r="AE135" s="121"/>
      <c r="AF135" s="121"/>
      <c r="AG135" s="121"/>
      <c r="AH135" s="121"/>
      <c r="AI135" s="121"/>
      <c r="AJ135" s="121"/>
      <c r="AK135" s="121"/>
      <c r="AL135" s="121"/>
      <c r="AM135" s="121"/>
      <c r="AN135" s="121"/>
    </row>
    <row r="136" ht="17.25" hidden="1" customHeight="1">
      <c r="A136" s="121"/>
      <c r="B136" s="214"/>
      <c r="C136" s="214"/>
      <c r="D136" s="214"/>
      <c r="E136" s="214"/>
      <c r="F136" s="214"/>
      <c r="G136" s="214"/>
      <c r="H136" s="214"/>
      <c r="I136" s="214"/>
      <c r="J136" s="214"/>
      <c r="K136" s="214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  <c r="AA136" s="121"/>
      <c r="AB136" s="121"/>
      <c r="AC136" s="121"/>
      <c r="AD136" s="121"/>
      <c r="AE136" s="121"/>
      <c r="AF136" s="121"/>
      <c r="AG136" s="121"/>
      <c r="AH136" s="121"/>
      <c r="AI136" s="121"/>
      <c r="AJ136" s="121"/>
      <c r="AK136" s="121"/>
      <c r="AL136" s="121"/>
      <c r="AM136" s="121"/>
      <c r="AN136" s="121"/>
    </row>
    <row r="137" ht="17.25" hidden="1" customHeight="1">
      <c r="A137" s="121"/>
      <c r="B137" s="214"/>
      <c r="C137" s="214"/>
      <c r="D137" s="214"/>
      <c r="E137" s="214"/>
      <c r="F137" s="214"/>
      <c r="G137" s="214"/>
      <c r="H137" s="214"/>
      <c r="I137" s="214"/>
      <c r="J137" s="214"/>
      <c r="K137" s="214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  <c r="AA137" s="121"/>
      <c r="AB137" s="121"/>
      <c r="AC137" s="121"/>
      <c r="AD137" s="121"/>
      <c r="AE137" s="121"/>
      <c r="AF137" s="121"/>
      <c r="AG137" s="121"/>
      <c r="AH137" s="121"/>
      <c r="AI137" s="121"/>
      <c r="AJ137" s="121"/>
      <c r="AK137" s="121"/>
      <c r="AL137" s="121"/>
      <c r="AM137" s="121"/>
      <c r="AN137" s="121"/>
    </row>
    <row r="138" ht="17.25" hidden="1" customHeight="1">
      <c r="A138" s="121"/>
      <c r="B138" s="214"/>
      <c r="C138" s="214"/>
      <c r="D138" s="214"/>
      <c r="E138" s="214"/>
      <c r="F138" s="214"/>
      <c r="G138" s="214"/>
      <c r="H138" s="214"/>
      <c r="I138" s="214"/>
      <c r="J138" s="214"/>
      <c r="K138" s="214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21"/>
      <c r="AH138" s="121"/>
      <c r="AI138" s="121"/>
      <c r="AJ138" s="121"/>
      <c r="AK138" s="121"/>
      <c r="AL138" s="121"/>
      <c r="AM138" s="121"/>
      <c r="AN138" s="121"/>
    </row>
    <row r="139" ht="17.25" hidden="1" customHeight="1">
      <c r="A139" s="121"/>
      <c r="B139" s="214"/>
      <c r="C139" s="214"/>
      <c r="D139" s="214"/>
      <c r="E139" s="214"/>
      <c r="F139" s="214"/>
      <c r="G139" s="214"/>
      <c r="H139" s="214"/>
      <c r="I139" s="214"/>
      <c r="J139" s="214"/>
      <c r="K139" s="214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  <c r="AA139" s="121"/>
      <c r="AB139" s="121"/>
      <c r="AC139" s="121"/>
      <c r="AD139" s="121"/>
      <c r="AE139" s="121"/>
      <c r="AF139" s="121"/>
      <c r="AG139" s="121"/>
      <c r="AH139" s="121"/>
      <c r="AI139" s="121"/>
      <c r="AJ139" s="121"/>
      <c r="AK139" s="121"/>
      <c r="AL139" s="121"/>
      <c r="AM139" s="121"/>
      <c r="AN139" s="121"/>
    </row>
    <row r="140" ht="17.25" hidden="1" customHeight="1">
      <c r="A140" s="121"/>
      <c r="B140" s="214"/>
      <c r="C140" s="214"/>
      <c r="D140" s="214"/>
      <c r="E140" s="214"/>
      <c r="F140" s="214"/>
      <c r="G140" s="214"/>
      <c r="H140" s="214"/>
      <c r="I140" s="214"/>
      <c r="J140" s="214"/>
      <c r="K140" s="214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  <c r="AA140" s="121"/>
      <c r="AB140" s="121"/>
      <c r="AC140" s="121"/>
      <c r="AD140" s="121"/>
      <c r="AE140" s="121"/>
      <c r="AF140" s="121"/>
      <c r="AG140" s="121"/>
      <c r="AH140" s="121"/>
      <c r="AI140" s="121"/>
      <c r="AJ140" s="121"/>
      <c r="AK140" s="121"/>
      <c r="AL140" s="121"/>
      <c r="AM140" s="121"/>
      <c r="AN140" s="121"/>
    </row>
  </sheetData>
  <mergeCells count="86">
    <mergeCell ref="AI38:AM38"/>
    <mergeCell ref="AI39:AM39"/>
    <mergeCell ref="B42:B43"/>
    <mergeCell ref="C42:H42"/>
    <mergeCell ref="Q42:V42"/>
    <mergeCell ref="C43:H43"/>
    <mergeCell ref="Q43:V43"/>
    <mergeCell ref="J42:O42"/>
    <mergeCell ref="J43:O43"/>
    <mergeCell ref="C44:H44"/>
    <mergeCell ref="J44:O44"/>
    <mergeCell ref="Q44:V44"/>
    <mergeCell ref="J45:O45"/>
    <mergeCell ref="Q45:V45"/>
    <mergeCell ref="C47:H47"/>
    <mergeCell ref="C49:I49"/>
    <mergeCell ref="B49:B51"/>
    <mergeCell ref="C51:I51"/>
    <mergeCell ref="C52:H52"/>
    <mergeCell ref="B54:B55"/>
    <mergeCell ref="C45:H45"/>
    <mergeCell ref="C46:H46"/>
    <mergeCell ref="J46:O46"/>
    <mergeCell ref="Q46:V46"/>
    <mergeCell ref="J47:O47"/>
    <mergeCell ref="Q47:V47"/>
    <mergeCell ref="Q50:W50"/>
    <mergeCell ref="C55:O55"/>
    <mergeCell ref="C56:O56"/>
    <mergeCell ref="C57:O57"/>
    <mergeCell ref="C58:O58"/>
    <mergeCell ref="C59:O59"/>
    <mergeCell ref="C50:I50"/>
    <mergeCell ref="J50:P50"/>
    <mergeCell ref="J51:P51"/>
    <mergeCell ref="Q51:W51"/>
    <mergeCell ref="J52:O52"/>
    <mergeCell ref="Q52:V52"/>
    <mergeCell ref="C54:P54"/>
    <mergeCell ref="O3:T3"/>
    <mergeCell ref="O4:T4"/>
    <mergeCell ref="B7:B8"/>
    <mergeCell ref="C7:I7"/>
    <mergeCell ref="J7:P7"/>
    <mergeCell ref="Q7:W7"/>
    <mergeCell ref="B2:H2"/>
    <mergeCell ref="AG2:AM5"/>
    <mergeCell ref="B3:H4"/>
    <mergeCell ref="I3:M3"/>
    <mergeCell ref="V3:Z3"/>
    <mergeCell ref="I4:M4"/>
    <mergeCell ref="V4:Z4"/>
    <mergeCell ref="B5:H5"/>
    <mergeCell ref="AB3:AF3"/>
    <mergeCell ref="AB4:AF4"/>
    <mergeCell ref="X7:AD7"/>
    <mergeCell ref="AE7:AG7"/>
    <mergeCell ref="AI7:AJ8"/>
    <mergeCell ref="AK7:AM8"/>
    <mergeCell ref="AK10:AM10"/>
    <mergeCell ref="AK11:AM11"/>
    <mergeCell ref="AK12:AM12"/>
    <mergeCell ref="AK13:AM13"/>
    <mergeCell ref="AK14:AM14"/>
    <mergeCell ref="AK15:AM15"/>
    <mergeCell ref="AK16:AM16"/>
    <mergeCell ref="AK17:AM17"/>
    <mergeCell ref="AK18:AM18"/>
    <mergeCell ref="AK19:AM19"/>
    <mergeCell ref="AK20:AM20"/>
    <mergeCell ref="AK21:AM21"/>
    <mergeCell ref="B36:AG36"/>
    <mergeCell ref="AI36:AM36"/>
    <mergeCell ref="AI37:AM37"/>
    <mergeCell ref="X42:AC42"/>
    <mergeCell ref="X43:AC43"/>
    <mergeCell ref="X44:AC44"/>
    <mergeCell ref="X45:AC45"/>
    <mergeCell ref="X46:AC46"/>
    <mergeCell ref="X47:AC47"/>
    <mergeCell ref="J49:P49"/>
    <mergeCell ref="Q49:W49"/>
    <mergeCell ref="X49:AD49"/>
    <mergeCell ref="X50:AD50"/>
    <mergeCell ref="X51:AD51"/>
    <mergeCell ref="X52:AC52"/>
  </mergeCells>
  <conditionalFormatting sqref="C23:AG23">
    <cfRule type="cellIs" dxfId="0" priority="1" operator="greaterThanOrEqual">
      <formula>"75%"</formula>
    </cfRule>
  </conditionalFormatting>
  <dataValidations>
    <dataValidation type="list" allowBlank="1" showErrorMessage="1" sqref="C37:AG39">
      <formula1>"10,9,8,7,6,5,4,3,2,1"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2" width="25.88"/>
    <col customWidth="1" min="3" max="19" width="4.25"/>
    <col customWidth="1" min="20" max="20" width="6.88"/>
    <col customWidth="1" min="21" max="33" width="4.25"/>
    <col customWidth="1" min="34" max="40" width="4.75"/>
  </cols>
  <sheetData>
    <row r="1" ht="17.25" customHeight="1">
      <c r="A1" s="120"/>
      <c r="B1" s="121"/>
      <c r="C1" s="122"/>
      <c r="D1" s="120"/>
      <c r="E1" s="121"/>
      <c r="F1" s="121"/>
      <c r="G1" s="121"/>
      <c r="H1" s="121"/>
      <c r="I1" s="121"/>
      <c r="J1" s="121"/>
      <c r="K1" s="121"/>
      <c r="L1" s="121"/>
      <c r="M1" s="123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</row>
    <row r="2" ht="17.25" customHeight="1">
      <c r="A2" s="120"/>
      <c r="B2" s="124"/>
      <c r="C2" s="21"/>
      <c r="D2" s="21"/>
      <c r="E2" s="21"/>
      <c r="F2" s="21"/>
      <c r="G2" s="21"/>
      <c r="H2" s="21"/>
      <c r="I2" s="125"/>
      <c r="J2" s="125"/>
      <c r="K2" s="125"/>
      <c r="L2" s="125"/>
      <c r="M2" s="126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21"/>
      <c r="AI2" s="21"/>
      <c r="AJ2" s="21"/>
      <c r="AK2" s="21"/>
      <c r="AL2" s="21"/>
      <c r="AM2" s="42"/>
      <c r="AN2" s="121"/>
    </row>
    <row r="3" ht="17.25" customHeight="1">
      <c r="A3" s="120"/>
      <c r="B3" s="33" t="s">
        <v>28</v>
      </c>
      <c r="I3" s="29" t="s">
        <v>39</v>
      </c>
      <c r="N3" s="127"/>
      <c r="O3" s="29" t="s">
        <v>41</v>
      </c>
      <c r="U3" s="127"/>
      <c r="V3" s="29" t="s">
        <v>42</v>
      </c>
      <c r="AA3" s="127"/>
      <c r="AB3" s="29" t="s">
        <v>26</v>
      </c>
      <c r="AM3" s="105"/>
      <c r="AN3" s="121"/>
    </row>
    <row r="4" ht="17.25" customHeight="1">
      <c r="A4" s="120"/>
      <c r="B4" s="85"/>
      <c r="I4" s="128">
        <f>SUM(countA($B$10:$B$21),$I$62)</f>
        <v>0</v>
      </c>
      <c r="N4" s="129"/>
      <c r="O4" s="130">
        <f>SUM(COUNTIF($C$10:$AG$21, true),$J$62)</f>
        <v>0</v>
      </c>
      <c r="U4" s="129"/>
      <c r="V4" s="131" t="str">
        <f>IFERROR(__xludf.DUMMYFUNCTION("iferror(SPARKLINE($AB$4:$AF$4,{""charttype"",""bar"";""max"",1;""color1"",""#c9e4b2""}))"),"")</f>
        <v/>
      </c>
      <c r="AA4" s="129"/>
      <c r="AB4" s="132">
        <f>$O$4/SUM(COUNTA($C$10:$AG$21),$K$62)</f>
        <v>0</v>
      </c>
      <c r="AM4" s="105"/>
      <c r="AN4" s="121"/>
    </row>
    <row r="5" ht="17.25" customHeight="1">
      <c r="A5" s="120"/>
      <c r="B5" s="133"/>
      <c r="C5" s="37"/>
      <c r="D5" s="37"/>
      <c r="E5" s="37"/>
      <c r="F5" s="37"/>
      <c r="G5" s="37"/>
      <c r="H5" s="37"/>
      <c r="I5" s="134"/>
      <c r="J5" s="134"/>
      <c r="K5" s="134"/>
      <c r="L5" s="134"/>
      <c r="M5" s="135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4"/>
      <c r="AG5" s="37"/>
      <c r="AH5" s="37"/>
      <c r="AI5" s="37"/>
      <c r="AJ5" s="37"/>
      <c r="AK5" s="37"/>
      <c r="AL5" s="37"/>
      <c r="AM5" s="44"/>
      <c r="AN5" s="121"/>
    </row>
    <row r="6" ht="17.25" customHeight="1">
      <c r="A6" s="120"/>
      <c r="B6" s="121"/>
      <c r="C6" s="122"/>
      <c r="D6" s="120"/>
      <c r="E6" s="121"/>
      <c r="F6" s="121"/>
      <c r="G6" s="121"/>
      <c r="H6" s="121"/>
      <c r="I6" s="121"/>
      <c r="J6" s="121"/>
      <c r="K6" s="121"/>
      <c r="L6" s="121"/>
      <c r="M6" s="123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</row>
    <row r="7" ht="17.25" customHeight="1">
      <c r="A7" s="120"/>
      <c r="B7" s="136" t="s">
        <v>43</v>
      </c>
      <c r="C7" s="190" t="s">
        <v>44</v>
      </c>
      <c r="D7" s="46"/>
      <c r="E7" s="46"/>
      <c r="F7" s="46"/>
      <c r="G7" s="46"/>
      <c r="H7" s="46"/>
      <c r="I7" s="47"/>
      <c r="J7" s="216" t="s">
        <v>45</v>
      </c>
      <c r="K7" s="46"/>
      <c r="L7" s="46"/>
      <c r="M7" s="46"/>
      <c r="N7" s="46"/>
      <c r="O7" s="46"/>
      <c r="P7" s="47"/>
      <c r="Q7" s="217" t="s">
        <v>46</v>
      </c>
      <c r="R7" s="46"/>
      <c r="S7" s="46"/>
      <c r="T7" s="46"/>
      <c r="U7" s="46"/>
      <c r="V7" s="46"/>
      <c r="W7" s="47"/>
      <c r="X7" s="218" t="s">
        <v>47</v>
      </c>
      <c r="Y7" s="46"/>
      <c r="Z7" s="46"/>
      <c r="AA7" s="46"/>
      <c r="AB7" s="46"/>
      <c r="AC7" s="46"/>
      <c r="AD7" s="47"/>
      <c r="AE7" s="141"/>
      <c r="AF7" s="46"/>
      <c r="AG7" s="47"/>
      <c r="AH7" s="121"/>
      <c r="AI7" s="62" t="s">
        <v>48</v>
      </c>
      <c r="AJ7" s="42"/>
      <c r="AK7" s="62" t="s">
        <v>49</v>
      </c>
      <c r="AL7" s="21"/>
      <c r="AM7" s="42"/>
      <c r="AN7" s="121"/>
    </row>
    <row r="8" ht="17.25" customHeight="1">
      <c r="A8" s="121"/>
      <c r="B8" s="86"/>
      <c r="C8" s="143">
        <f>weekday(date(Dashboard!$Q$3,$AG$45,C9),1)</f>
        <v>7</v>
      </c>
      <c r="D8" s="143">
        <f>weekday(date(Dashboard!$Q$3,$AG$45,D9),1)</f>
        <v>1</v>
      </c>
      <c r="E8" s="143">
        <f>weekday(date(Dashboard!$Q$3,$AG$45,E9),1)</f>
        <v>2</v>
      </c>
      <c r="F8" s="143">
        <f>weekday(date(Dashboard!$Q$3,$AG$45,F9),1)</f>
        <v>3</v>
      </c>
      <c r="G8" s="143">
        <f>weekday(date(Dashboard!$Q$3,$AG$45,G9),1)</f>
        <v>4</v>
      </c>
      <c r="H8" s="143">
        <f>weekday(date(Dashboard!$Q$3,$AG$45,H9),1)</f>
        <v>5</v>
      </c>
      <c r="I8" s="143">
        <f>weekday(date(Dashboard!$Q$3,$AG$45,I9),1)</f>
        <v>6</v>
      </c>
      <c r="J8" s="144">
        <f>weekday(date(Dashboard!$Q$3,$AG$45,J9),1)</f>
        <v>7</v>
      </c>
      <c r="K8" s="144">
        <f>weekday(date(Dashboard!$Q$3,$AG$45,K9),1)</f>
        <v>1</v>
      </c>
      <c r="L8" s="144">
        <f>weekday(date(Dashboard!$Q$3,$AG$45,L9),1)</f>
        <v>2</v>
      </c>
      <c r="M8" s="144">
        <f>weekday(date(Dashboard!$Q$3,$AG$45,M9),1)</f>
        <v>3</v>
      </c>
      <c r="N8" s="144">
        <f>weekday(date(Dashboard!$Q$3,$AG$45,N9),1)</f>
        <v>4</v>
      </c>
      <c r="O8" s="144">
        <f>weekday(date(Dashboard!$Q$3,$AG$45,O9),1)</f>
        <v>5</v>
      </c>
      <c r="P8" s="144">
        <f>weekday(date(Dashboard!$Q$3,$AG$45,P9),1)</f>
        <v>6</v>
      </c>
      <c r="Q8" s="145">
        <f>weekday(date(Dashboard!$Q$3,$AG$45,Q9),1)</f>
        <v>7</v>
      </c>
      <c r="R8" s="145">
        <f>weekday(date(Dashboard!$Q$3,$AG$45,R9),1)</f>
        <v>1</v>
      </c>
      <c r="S8" s="145">
        <f>weekday(date(Dashboard!$Q$3,$AG$45,S9),1)</f>
        <v>2</v>
      </c>
      <c r="T8" s="145">
        <f>weekday(date(Dashboard!$Q$3,$AG$45,T9),1)</f>
        <v>3</v>
      </c>
      <c r="U8" s="145">
        <f>weekday(date(Dashboard!$Q$3,$AG$45,U9),1)</f>
        <v>4</v>
      </c>
      <c r="V8" s="145">
        <f>weekday(date(Dashboard!$Q$3,$AG$45,V9),1)</f>
        <v>5</v>
      </c>
      <c r="W8" s="145">
        <f>weekday(date(Dashboard!$Q$3,$AG$45,W9),1)</f>
        <v>6</v>
      </c>
      <c r="X8" s="146">
        <f>weekday(date(Dashboard!$Q$3,$AG$45,X9),1)</f>
        <v>7</v>
      </c>
      <c r="Y8" s="146">
        <f>weekday(date(Dashboard!$Q$3,$AG$45,Y9),1)</f>
        <v>1</v>
      </c>
      <c r="Z8" s="146">
        <f>weekday(date(Dashboard!$Q$3,$AG$45,Z9),1)</f>
        <v>2</v>
      </c>
      <c r="AA8" s="146">
        <f>weekday(date(Dashboard!$Q$3,$AG$45,AA9),1)</f>
        <v>3</v>
      </c>
      <c r="AB8" s="146">
        <f>weekday(date(Dashboard!$Q$3,$AG$45,AB9),1)</f>
        <v>4</v>
      </c>
      <c r="AC8" s="146">
        <f>weekday(date(Dashboard!$Q$3,$AG$45,AC9),1)</f>
        <v>5</v>
      </c>
      <c r="AD8" s="146">
        <f>weekday(date(Dashboard!$Q$3,$AG$45,AD9),1)</f>
        <v>6</v>
      </c>
      <c r="AE8" s="147">
        <f>weekday(date(Dashboard!$Q$3,$AG$45,AE9),1)</f>
        <v>7</v>
      </c>
      <c r="AF8" s="147">
        <f>weekday(date(Dashboard!$Q$3,$AG$45,AF9),1)</f>
        <v>1</v>
      </c>
      <c r="AG8" s="148">
        <f>weekday(date(Dashboard!$Q$3,$AG$45,AG9),1)</f>
        <v>2</v>
      </c>
      <c r="AH8" s="149"/>
      <c r="AI8" s="43"/>
      <c r="AJ8" s="44"/>
      <c r="AK8" s="43"/>
      <c r="AL8" s="37"/>
      <c r="AM8" s="44"/>
      <c r="AN8" s="149"/>
    </row>
    <row r="9" ht="17.25" customHeight="1">
      <c r="A9" s="121"/>
      <c r="B9" s="150">
        <f>TODAY()</f>
        <v>46025</v>
      </c>
      <c r="C9" s="151">
        <v>1.0</v>
      </c>
      <c r="D9" s="151">
        <v>2.0</v>
      </c>
      <c r="E9" s="151">
        <v>3.0</v>
      </c>
      <c r="F9" s="151">
        <v>4.0</v>
      </c>
      <c r="G9" s="151">
        <v>5.0</v>
      </c>
      <c r="H9" s="151">
        <v>6.0</v>
      </c>
      <c r="I9" s="151">
        <v>7.0</v>
      </c>
      <c r="J9" s="152">
        <v>8.0</v>
      </c>
      <c r="K9" s="152">
        <v>9.0</v>
      </c>
      <c r="L9" s="152">
        <v>10.0</v>
      </c>
      <c r="M9" s="152">
        <v>11.0</v>
      </c>
      <c r="N9" s="152">
        <v>12.0</v>
      </c>
      <c r="O9" s="152">
        <v>13.0</v>
      </c>
      <c r="P9" s="152">
        <v>14.0</v>
      </c>
      <c r="Q9" s="153">
        <v>15.0</v>
      </c>
      <c r="R9" s="153">
        <v>16.0</v>
      </c>
      <c r="S9" s="153">
        <v>17.0</v>
      </c>
      <c r="T9" s="153">
        <v>18.0</v>
      </c>
      <c r="U9" s="153">
        <v>19.0</v>
      </c>
      <c r="V9" s="153">
        <v>20.0</v>
      </c>
      <c r="W9" s="153">
        <v>21.0</v>
      </c>
      <c r="X9" s="154">
        <v>22.0</v>
      </c>
      <c r="Y9" s="154">
        <v>23.0</v>
      </c>
      <c r="Z9" s="154">
        <v>24.0</v>
      </c>
      <c r="AA9" s="154">
        <v>25.0</v>
      </c>
      <c r="AB9" s="154">
        <v>26.0</v>
      </c>
      <c r="AC9" s="154">
        <v>27.0</v>
      </c>
      <c r="AD9" s="154">
        <v>28.0</v>
      </c>
      <c r="AE9" s="155">
        <v>29.0</v>
      </c>
      <c r="AF9" s="155">
        <v>30.0</v>
      </c>
      <c r="AG9" s="155">
        <v>31.0</v>
      </c>
      <c r="AH9" s="149"/>
      <c r="AI9" s="156" t="s">
        <v>14</v>
      </c>
      <c r="AJ9" s="156" t="s">
        <v>50</v>
      </c>
      <c r="AK9" s="157"/>
      <c r="AL9" s="158"/>
      <c r="AM9" s="159"/>
      <c r="AN9" s="149"/>
    </row>
    <row r="10" ht="17.25" customHeight="1">
      <c r="A10" s="121"/>
      <c r="B10" s="160"/>
      <c r="C10" s="161" t="b">
        <v>0</v>
      </c>
      <c r="D10" s="162" t="b">
        <v>0</v>
      </c>
      <c r="E10" s="162" t="b">
        <v>0</v>
      </c>
      <c r="F10" s="162" t="b">
        <v>0</v>
      </c>
      <c r="G10" s="162" t="b">
        <v>0</v>
      </c>
      <c r="H10" s="162" t="b">
        <v>0</v>
      </c>
      <c r="I10" s="162" t="b">
        <v>0</v>
      </c>
      <c r="J10" s="163" t="b">
        <v>0</v>
      </c>
      <c r="K10" s="163" t="b">
        <v>0</v>
      </c>
      <c r="L10" s="163" t="b">
        <v>0</v>
      </c>
      <c r="M10" s="163" t="b">
        <v>0</v>
      </c>
      <c r="N10" s="163" t="b">
        <v>0</v>
      </c>
      <c r="O10" s="163" t="b">
        <v>0</v>
      </c>
      <c r="P10" s="163" t="b">
        <v>0</v>
      </c>
      <c r="Q10" s="164" t="b">
        <v>0</v>
      </c>
      <c r="R10" s="164" t="b">
        <v>0</v>
      </c>
      <c r="S10" s="164" t="b">
        <v>0</v>
      </c>
      <c r="T10" s="164" t="b">
        <v>0</v>
      </c>
      <c r="U10" s="164" t="b">
        <v>0</v>
      </c>
      <c r="V10" s="164" t="b">
        <v>0</v>
      </c>
      <c r="W10" s="164" t="b">
        <v>0</v>
      </c>
      <c r="X10" s="165" t="b">
        <v>0</v>
      </c>
      <c r="Y10" s="165" t="b">
        <v>0</v>
      </c>
      <c r="Z10" s="165" t="b">
        <v>0</v>
      </c>
      <c r="AA10" s="165" t="b">
        <v>0</v>
      </c>
      <c r="AB10" s="165" t="b">
        <v>0</v>
      </c>
      <c r="AC10" s="165" t="b">
        <v>0</v>
      </c>
      <c r="AD10" s="165" t="b">
        <v>0</v>
      </c>
      <c r="AE10" s="166" t="b">
        <v>0</v>
      </c>
      <c r="AF10" s="166" t="b">
        <v>0</v>
      </c>
      <c r="AG10" s="166" t="b">
        <v>0</v>
      </c>
      <c r="AH10" s="149"/>
      <c r="AI10" s="167"/>
      <c r="AJ10" s="168">
        <f t="array" ref="AJ10:AJ21">MMULT(N($C$10:$AG$21), TRANSPOSE(COLUMN($C$10:$AG$21)^0))
</f>
        <v>0</v>
      </c>
      <c r="AK10" s="169" t="str">
        <f>IFERROR(__xludf.DUMMYFUNCTION("iferror(SPARKLINE(AJ10/AI10,{""charttype"",""bar"";""max"",1;""color1"",""#c9e4b2""}))"),"")</f>
        <v/>
      </c>
      <c r="AL10" s="46"/>
      <c r="AM10" s="47"/>
      <c r="AN10" s="170"/>
    </row>
    <row r="11" ht="17.25" customHeight="1">
      <c r="A11" s="121"/>
      <c r="B11" s="160"/>
      <c r="C11" s="161" t="b">
        <v>0</v>
      </c>
      <c r="D11" s="162" t="b">
        <v>0</v>
      </c>
      <c r="E11" s="162" t="b">
        <v>0</v>
      </c>
      <c r="F11" s="162" t="b">
        <v>0</v>
      </c>
      <c r="G11" s="162" t="b">
        <v>0</v>
      </c>
      <c r="H11" s="162" t="b">
        <v>0</v>
      </c>
      <c r="I11" s="162" t="b">
        <v>0</v>
      </c>
      <c r="J11" s="163" t="b">
        <v>0</v>
      </c>
      <c r="K11" s="163" t="b">
        <v>0</v>
      </c>
      <c r="L11" s="163" t="b">
        <v>0</v>
      </c>
      <c r="M11" s="163" t="b">
        <v>0</v>
      </c>
      <c r="N11" s="163" t="b">
        <v>0</v>
      </c>
      <c r="O11" s="163" t="b">
        <v>0</v>
      </c>
      <c r="P11" s="163" t="b">
        <v>0</v>
      </c>
      <c r="Q11" s="164" t="b">
        <v>0</v>
      </c>
      <c r="R11" s="164" t="b">
        <v>0</v>
      </c>
      <c r="S11" s="164" t="b">
        <v>0</v>
      </c>
      <c r="T11" s="164" t="b">
        <v>0</v>
      </c>
      <c r="U11" s="164" t="b">
        <v>0</v>
      </c>
      <c r="V11" s="164" t="b">
        <v>0</v>
      </c>
      <c r="W11" s="164" t="b">
        <v>0</v>
      </c>
      <c r="X11" s="165" t="b">
        <v>0</v>
      </c>
      <c r="Y11" s="165" t="b">
        <v>0</v>
      </c>
      <c r="Z11" s="165" t="b">
        <v>0</v>
      </c>
      <c r="AA11" s="165" t="b">
        <v>0</v>
      </c>
      <c r="AB11" s="165" t="b">
        <v>0</v>
      </c>
      <c r="AC11" s="165" t="b">
        <v>0</v>
      </c>
      <c r="AD11" s="165" t="b">
        <v>0</v>
      </c>
      <c r="AE11" s="166" t="b">
        <v>0</v>
      </c>
      <c r="AF11" s="166" t="b">
        <v>0</v>
      </c>
      <c r="AG11" s="166" t="b">
        <v>0</v>
      </c>
      <c r="AH11" s="149"/>
      <c r="AI11" s="167"/>
      <c r="AJ11" s="160">
        <v>0.0</v>
      </c>
      <c r="AK11" s="169" t="str">
        <f>IFERROR(__xludf.DUMMYFUNCTION("iferror(SPARKLINE(AJ11/AI11,{""charttype"",""bar"";""max"",1;""color1"",""#c9e4b2""}))"),"")</f>
        <v/>
      </c>
      <c r="AL11" s="46"/>
      <c r="AM11" s="47"/>
      <c r="AN11" s="170"/>
    </row>
    <row r="12" ht="17.25" customHeight="1">
      <c r="A12" s="121"/>
      <c r="B12" s="160"/>
      <c r="C12" s="161" t="b">
        <v>0</v>
      </c>
      <c r="D12" s="162" t="b">
        <v>0</v>
      </c>
      <c r="E12" s="162" t="b">
        <v>0</v>
      </c>
      <c r="F12" s="162" t="b">
        <v>0</v>
      </c>
      <c r="G12" s="162" t="b">
        <v>0</v>
      </c>
      <c r="H12" s="162" t="b">
        <v>0</v>
      </c>
      <c r="I12" s="162" t="b">
        <v>0</v>
      </c>
      <c r="J12" s="163" t="b">
        <v>0</v>
      </c>
      <c r="K12" s="163" t="b">
        <v>0</v>
      </c>
      <c r="L12" s="163" t="b">
        <v>0</v>
      </c>
      <c r="M12" s="163" t="b">
        <v>0</v>
      </c>
      <c r="N12" s="163" t="b">
        <v>0</v>
      </c>
      <c r="O12" s="163" t="b">
        <v>0</v>
      </c>
      <c r="P12" s="163" t="b">
        <v>0</v>
      </c>
      <c r="Q12" s="164" t="b">
        <v>0</v>
      </c>
      <c r="R12" s="164" t="b">
        <v>0</v>
      </c>
      <c r="S12" s="164" t="b">
        <v>0</v>
      </c>
      <c r="T12" s="164" t="b">
        <v>0</v>
      </c>
      <c r="U12" s="164" t="b">
        <v>0</v>
      </c>
      <c r="V12" s="164" t="b">
        <v>0</v>
      </c>
      <c r="W12" s="164" t="b">
        <v>0</v>
      </c>
      <c r="X12" s="165" t="b">
        <v>0</v>
      </c>
      <c r="Y12" s="165" t="b">
        <v>0</v>
      </c>
      <c r="Z12" s="165" t="b">
        <v>0</v>
      </c>
      <c r="AA12" s="165" t="b">
        <v>0</v>
      </c>
      <c r="AB12" s="165" t="b">
        <v>0</v>
      </c>
      <c r="AC12" s="165" t="b">
        <v>0</v>
      </c>
      <c r="AD12" s="165" t="b">
        <v>0</v>
      </c>
      <c r="AE12" s="166" t="b">
        <v>0</v>
      </c>
      <c r="AF12" s="166" t="b">
        <v>0</v>
      </c>
      <c r="AG12" s="166" t="b">
        <v>0</v>
      </c>
      <c r="AH12" s="149"/>
      <c r="AI12" s="167"/>
      <c r="AJ12" s="160">
        <v>0.0</v>
      </c>
      <c r="AK12" s="169" t="str">
        <f>IFERROR(__xludf.DUMMYFUNCTION("iferror(SPARKLINE(AJ12/AI12,{""charttype"",""bar"";""max"",1;""color1"",""#c9e4b2""}))"),"")</f>
        <v/>
      </c>
      <c r="AL12" s="46"/>
      <c r="AM12" s="47"/>
      <c r="AN12" s="170"/>
    </row>
    <row r="13" ht="17.25" customHeight="1">
      <c r="A13" s="121"/>
      <c r="B13" s="160"/>
      <c r="C13" s="161" t="b">
        <v>0</v>
      </c>
      <c r="D13" s="162" t="b">
        <v>0</v>
      </c>
      <c r="E13" s="162" t="b">
        <v>0</v>
      </c>
      <c r="F13" s="162" t="b">
        <v>0</v>
      </c>
      <c r="G13" s="162" t="b">
        <v>0</v>
      </c>
      <c r="H13" s="162" t="b">
        <v>0</v>
      </c>
      <c r="I13" s="162" t="b">
        <v>0</v>
      </c>
      <c r="J13" s="163" t="b">
        <v>0</v>
      </c>
      <c r="K13" s="163" t="b">
        <v>0</v>
      </c>
      <c r="L13" s="163" t="b">
        <v>0</v>
      </c>
      <c r="M13" s="163" t="b">
        <v>0</v>
      </c>
      <c r="N13" s="163" t="b">
        <v>0</v>
      </c>
      <c r="O13" s="163" t="b">
        <v>0</v>
      </c>
      <c r="P13" s="163" t="b">
        <v>0</v>
      </c>
      <c r="Q13" s="164" t="b">
        <v>0</v>
      </c>
      <c r="R13" s="164" t="b">
        <v>0</v>
      </c>
      <c r="S13" s="164" t="b">
        <v>0</v>
      </c>
      <c r="T13" s="164" t="b">
        <v>0</v>
      </c>
      <c r="U13" s="164" t="b">
        <v>0</v>
      </c>
      <c r="V13" s="164" t="b">
        <v>0</v>
      </c>
      <c r="W13" s="164" t="b">
        <v>0</v>
      </c>
      <c r="X13" s="165" t="b">
        <v>0</v>
      </c>
      <c r="Y13" s="165" t="b">
        <v>0</v>
      </c>
      <c r="Z13" s="165" t="b">
        <v>0</v>
      </c>
      <c r="AA13" s="165" t="b">
        <v>0</v>
      </c>
      <c r="AB13" s="165" t="b">
        <v>0</v>
      </c>
      <c r="AC13" s="165" t="b">
        <v>0</v>
      </c>
      <c r="AD13" s="165" t="b">
        <v>0</v>
      </c>
      <c r="AE13" s="166" t="b">
        <v>0</v>
      </c>
      <c r="AF13" s="166" t="b">
        <v>0</v>
      </c>
      <c r="AG13" s="166" t="b">
        <v>0</v>
      </c>
      <c r="AH13" s="149"/>
      <c r="AI13" s="167"/>
      <c r="AJ13" s="160">
        <v>0.0</v>
      </c>
      <c r="AK13" s="169" t="str">
        <f>IFERROR(__xludf.DUMMYFUNCTION("iferror(SPARKLINE(AJ13/AI13,{""charttype"",""bar"";""max"",1;""color1"",""#c9e4b2""}))"),"")</f>
        <v/>
      </c>
      <c r="AL13" s="46"/>
      <c r="AM13" s="47"/>
      <c r="AN13" s="170"/>
    </row>
    <row r="14" ht="17.25" customHeight="1">
      <c r="A14" s="121"/>
      <c r="B14" s="160"/>
      <c r="C14" s="161" t="b">
        <v>0</v>
      </c>
      <c r="D14" s="162" t="b">
        <v>0</v>
      </c>
      <c r="E14" s="162" t="b">
        <v>0</v>
      </c>
      <c r="F14" s="162" t="b">
        <v>0</v>
      </c>
      <c r="G14" s="162" t="b">
        <v>0</v>
      </c>
      <c r="H14" s="162" t="b">
        <v>0</v>
      </c>
      <c r="I14" s="162" t="b">
        <v>0</v>
      </c>
      <c r="J14" s="163" t="b">
        <v>0</v>
      </c>
      <c r="K14" s="163" t="b">
        <v>0</v>
      </c>
      <c r="L14" s="163" t="b">
        <v>0</v>
      </c>
      <c r="M14" s="163" t="b">
        <v>0</v>
      </c>
      <c r="N14" s="163" t="b">
        <v>0</v>
      </c>
      <c r="O14" s="163" t="b">
        <v>0</v>
      </c>
      <c r="P14" s="163" t="b">
        <v>0</v>
      </c>
      <c r="Q14" s="164" t="b">
        <v>0</v>
      </c>
      <c r="R14" s="164" t="b">
        <v>0</v>
      </c>
      <c r="S14" s="164" t="b">
        <v>0</v>
      </c>
      <c r="T14" s="164" t="b">
        <v>0</v>
      </c>
      <c r="U14" s="164" t="b">
        <v>0</v>
      </c>
      <c r="V14" s="164" t="b">
        <v>0</v>
      </c>
      <c r="W14" s="164" t="b">
        <v>0</v>
      </c>
      <c r="X14" s="165" t="b">
        <v>0</v>
      </c>
      <c r="Y14" s="165" t="b">
        <v>0</v>
      </c>
      <c r="Z14" s="165" t="b">
        <v>0</v>
      </c>
      <c r="AA14" s="165" t="b">
        <v>0</v>
      </c>
      <c r="AB14" s="165" t="b">
        <v>0</v>
      </c>
      <c r="AC14" s="165" t="b">
        <v>0</v>
      </c>
      <c r="AD14" s="165" t="b">
        <v>0</v>
      </c>
      <c r="AE14" s="166" t="b">
        <v>0</v>
      </c>
      <c r="AF14" s="166" t="b">
        <v>0</v>
      </c>
      <c r="AG14" s="166" t="b">
        <v>0</v>
      </c>
      <c r="AH14" s="149"/>
      <c r="AI14" s="167"/>
      <c r="AJ14" s="160">
        <v>0.0</v>
      </c>
      <c r="AK14" s="169" t="str">
        <f>IFERROR(__xludf.DUMMYFUNCTION("iferror(SPARKLINE(AJ14/AI14,{""charttype"",""bar"";""max"",1;""color1"",""#c9e4b2""}))"),"")</f>
        <v/>
      </c>
      <c r="AL14" s="46"/>
      <c r="AM14" s="47"/>
      <c r="AN14" s="170"/>
    </row>
    <row r="15" ht="17.25" customHeight="1">
      <c r="A15" s="121"/>
      <c r="B15" s="160"/>
      <c r="C15" s="161" t="b">
        <v>0</v>
      </c>
      <c r="D15" s="162" t="b">
        <v>0</v>
      </c>
      <c r="E15" s="162" t="b">
        <v>0</v>
      </c>
      <c r="F15" s="162" t="b">
        <v>0</v>
      </c>
      <c r="G15" s="162" t="b">
        <v>0</v>
      </c>
      <c r="H15" s="162" t="b">
        <v>0</v>
      </c>
      <c r="I15" s="162" t="b">
        <v>0</v>
      </c>
      <c r="J15" s="163" t="b">
        <v>0</v>
      </c>
      <c r="K15" s="163" t="b">
        <v>0</v>
      </c>
      <c r="L15" s="163" t="b">
        <v>0</v>
      </c>
      <c r="M15" s="163" t="b">
        <v>0</v>
      </c>
      <c r="N15" s="163" t="b">
        <v>0</v>
      </c>
      <c r="O15" s="163" t="b">
        <v>0</v>
      </c>
      <c r="P15" s="163" t="b">
        <v>0</v>
      </c>
      <c r="Q15" s="164" t="b">
        <v>0</v>
      </c>
      <c r="R15" s="164" t="b">
        <v>0</v>
      </c>
      <c r="S15" s="164" t="b">
        <v>0</v>
      </c>
      <c r="T15" s="164" t="b">
        <v>0</v>
      </c>
      <c r="U15" s="164" t="b">
        <v>0</v>
      </c>
      <c r="V15" s="164" t="b">
        <v>0</v>
      </c>
      <c r="W15" s="164" t="b">
        <v>0</v>
      </c>
      <c r="X15" s="165" t="b">
        <v>0</v>
      </c>
      <c r="Y15" s="165" t="b">
        <v>0</v>
      </c>
      <c r="Z15" s="165" t="b">
        <v>0</v>
      </c>
      <c r="AA15" s="165" t="b">
        <v>0</v>
      </c>
      <c r="AB15" s="165" t="b">
        <v>0</v>
      </c>
      <c r="AC15" s="165" t="b">
        <v>0</v>
      </c>
      <c r="AD15" s="165" t="b">
        <v>0</v>
      </c>
      <c r="AE15" s="166" t="b">
        <v>0</v>
      </c>
      <c r="AF15" s="166" t="b">
        <v>0</v>
      </c>
      <c r="AG15" s="166" t="b">
        <v>0</v>
      </c>
      <c r="AH15" s="149"/>
      <c r="AI15" s="167"/>
      <c r="AJ15" s="160">
        <v>0.0</v>
      </c>
      <c r="AK15" s="169" t="str">
        <f>IFERROR(__xludf.DUMMYFUNCTION("iferror(SPARKLINE(AJ15/AI15,{""charttype"",""bar"";""max"",1;""color1"",""#c9e4b2""}))"),"")</f>
        <v/>
      </c>
      <c r="AL15" s="46"/>
      <c r="AM15" s="47"/>
      <c r="AN15" s="170"/>
    </row>
    <row r="16" ht="17.25" customHeight="1">
      <c r="A16" s="121"/>
      <c r="B16" s="160"/>
      <c r="C16" s="161" t="b">
        <v>0</v>
      </c>
      <c r="D16" s="162" t="b">
        <v>0</v>
      </c>
      <c r="E16" s="162" t="b">
        <v>0</v>
      </c>
      <c r="F16" s="162" t="b">
        <v>0</v>
      </c>
      <c r="G16" s="162" t="b">
        <v>0</v>
      </c>
      <c r="H16" s="162" t="b">
        <v>0</v>
      </c>
      <c r="I16" s="162" t="b">
        <v>0</v>
      </c>
      <c r="J16" s="163" t="b">
        <v>0</v>
      </c>
      <c r="K16" s="163" t="b">
        <v>0</v>
      </c>
      <c r="L16" s="163" t="b">
        <v>0</v>
      </c>
      <c r="M16" s="163" t="b">
        <v>0</v>
      </c>
      <c r="N16" s="163" t="b">
        <v>0</v>
      </c>
      <c r="O16" s="163" t="b">
        <v>0</v>
      </c>
      <c r="P16" s="163" t="b">
        <v>0</v>
      </c>
      <c r="Q16" s="164" t="b">
        <v>0</v>
      </c>
      <c r="R16" s="164" t="b">
        <v>0</v>
      </c>
      <c r="S16" s="164" t="b">
        <v>0</v>
      </c>
      <c r="T16" s="164" t="b">
        <v>0</v>
      </c>
      <c r="U16" s="164" t="b">
        <v>0</v>
      </c>
      <c r="V16" s="164" t="b">
        <v>0</v>
      </c>
      <c r="W16" s="164" t="b">
        <v>0</v>
      </c>
      <c r="X16" s="165" t="b">
        <v>0</v>
      </c>
      <c r="Y16" s="165" t="b">
        <v>0</v>
      </c>
      <c r="Z16" s="165" t="b">
        <v>0</v>
      </c>
      <c r="AA16" s="165" t="b">
        <v>0</v>
      </c>
      <c r="AB16" s="165" t="b">
        <v>0</v>
      </c>
      <c r="AC16" s="165" t="b">
        <v>0</v>
      </c>
      <c r="AD16" s="165" t="b">
        <v>0</v>
      </c>
      <c r="AE16" s="166" t="b">
        <v>0</v>
      </c>
      <c r="AF16" s="166" t="b">
        <v>0</v>
      </c>
      <c r="AG16" s="166" t="b">
        <v>0</v>
      </c>
      <c r="AH16" s="149"/>
      <c r="AI16" s="167"/>
      <c r="AJ16" s="160">
        <v>0.0</v>
      </c>
      <c r="AK16" s="169" t="str">
        <f>IFERROR(__xludf.DUMMYFUNCTION("iferror(SPARKLINE(AJ16/AI16,{""charttype"",""bar"";""max"",1;""color1"",""#c9e4b2""}))"),"")</f>
        <v/>
      </c>
      <c r="AL16" s="46"/>
      <c r="AM16" s="47"/>
      <c r="AN16" s="170"/>
    </row>
    <row r="17" ht="17.25" customHeight="1">
      <c r="A17" s="121"/>
      <c r="B17" s="160"/>
      <c r="C17" s="161" t="b">
        <v>0</v>
      </c>
      <c r="D17" s="162" t="b">
        <v>0</v>
      </c>
      <c r="E17" s="162" t="b">
        <v>0</v>
      </c>
      <c r="F17" s="162" t="b">
        <v>0</v>
      </c>
      <c r="G17" s="162" t="b">
        <v>0</v>
      </c>
      <c r="H17" s="162" t="b">
        <v>0</v>
      </c>
      <c r="I17" s="162" t="b">
        <v>0</v>
      </c>
      <c r="J17" s="163" t="b">
        <v>0</v>
      </c>
      <c r="K17" s="163" t="b">
        <v>0</v>
      </c>
      <c r="L17" s="163" t="b">
        <v>0</v>
      </c>
      <c r="M17" s="163" t="b">
        <v>0</v>
      </c>
      <c r="N17" s="163" t="b">
        <v>0</v>
      </c>
      <c r="O17" s="163" t="b">
        <v>0</v>
      </c>
      <c r="P17" s="163" t="b">
        <v>0</v>
      </c>
      <c r="Q17" s="164" t="b">
        <v>0</v>
      </c>
      <c r="R17" s="164" t="b">
        <v>0</v>
      </c>
      <c r="S17" s="164" t="b">
        <v>0</v>
      </c>
      <c r="T17" s="164" t="b">
        <v>0</v>
      </c>
      <c r="U17" s="164" t="b">
        <v>0</v>
      </c>
      <c r="V17" s="164" t="b">
        <v>0</v>
      </c>
      <c r="W17" s="164" t="b">
        <v>0</v>
      </c>
      <c r="X17" s="165" t="b">
        <v>0</v>
      </c>
      <c r="Y17" s="165" t="b">
        <v>0</v>
      </c>
      <c r="Z17" s="165" t="b">
        <v>0</v>
      </c>
      <c r="AA17" s="165" t="b">
        <v>0</v>
      </c>
      <c r="AB17" s="165" t="b">
        <v>0</v>
      </c>
      <c r="AC17" s="165" t="b">
        <v>0</v>
      </c>
      <c r="AD17" s="165" t="b">
        <v>0</v>
      </c>
      <c r="AE17" s="166" t="b">
        <v>0</v>
      </c>
      <c r="AF17" s="166" t="b">
        <v>0</v>
      </c>
      <c r="AG17" s="166" t="b">
        <v>0</v>
      </c>
      <c r="AH17" s="149"/>
      <c r="AI17" s="167"/>
      <c r="AJ17" s="160">
        <v>0.0</v>
      </c>
      <c r="AK17" s="169" t="str">
        <f>IFERROR(__xludf.DUMMYFUNCTION("iferror(SPARKLINE(AJ17/AI17,{""charttype"",""bar"";""max"",1;""color1"",""#c9e4b2""}))"),"")</f>
        <v/>
      </c>
      <c r="AL17" s="46"/>
      <c r="AM17" s="47"/>
      <c r="AN17" s="170"/>
    </row>
    <row r="18" ht="17.25" customHeight="1">
      <c r="A18" s="121"/>
      <c r="B18" s="160"/>
      <c r="C18" s="161" t="b">
        <v>0</v>
      </c>
      <c r="D18" s="162" t="b">
        <v>0</v>
      </c>
      <c r="E18" s="162" t="b">
        <v>0</v>
      </c>
      <c r="F18" s="162" t="b">
        <v>0</v>
      </c>
      <c r="G18" s="162" t="b">
        <v>0</v>
      </c>
      <c r="H18" s="162" t="b">
        <v>0</v>
      </c>
      <c r="I18" s="162" t="b">
        <v>0</v>
      </c>
      <c r="J18" s="163" t="b">
        <v>0</v>
      </c>
      <c r="K18" s="163" t="b">
        <v>0</v>
      </c>
      <c r="L18" s="163" t="b">
        <v>0</v>
      </c>
      <c r="M18" s="163" t="b">
        <v>0</v>
      </c>
      <c r="N18" s="163" t="b">
        <v>0</v>
      </c>
      <c r="O18" s="163" t="b">
        <v>0</v>
      </c>
      <c r="P18" s="163" t="b">
        <v>0</v>
      </c>
      <c r="Q18" s="164" t="b">
        <v>0</v>
      </c>
      <c r="R18" s="164" t="b">
        <v>0</v>
      </c>
      <c r="S18" s="164" t="b">
        <v>0</v>
      </c>
      <c r="T18" s="164" t="b">
        <v>0</v>
      </c>
      <c r="U18" s="164" t="b">
        <v>0</v>
      </c>
      <c r="V18" s="164" t="b">
        <v>0</v>
      </c>
      <c r="W18" s="164" t="b">
        <v>0</v>
      </c>
      <c r="X18" s="165" t="b">
        <v>0</v>
      </c>
      <c r="Y18" s="165" t="b">
        <v>0</v>
      </c>
      <c r="Z18" s="165" t="b">
        <v>0</v>
      </c>
      <c r="AA18" s="165" t="b">
        <v>0</v>
      </c>
      <c r="AB18" s="165" t="b">
        <v>0</v>
      </c>
      <c r="AC18" s="165" t="b">
        <v>0</v>
      </c>
      <c r="AD18" s="165" t="b">
        <v>0</v>
      </c>
      <c r="AE18" s="166" t="b">
        <v>0</v>
      </c>
      <c r="AF18" s="166" t="b">
        <v>0</v>
      </c>
      <c r="AG18" s="166" t="b">
        <v>0</v>
      </c>
      <c r="AH18" s="149"/>
      <c r="AI18" s="167"/>
      <c r="AJ18" s="160">
        <v>0.0</v>
      </c>
      <c r="AK18" s="169" t="str">
        <f>IFERROR(__xludf.DUMMYFUNCTION("iferror(SPARKLINE(AJ18/AI18,{""charttype"",""bar"";""max"",1;""color1"",""#c9e4b2""}))"),"")</f>
        <v/>
      </c>
      <c r="AL18" s="46"/>
      <c r="AM18" s="47"/>
      <c r="AN18" s="170"/>
    </row>
    <row r="19" ht="17.25" customHeight="1">
      <c r="A19" s="121"/>
      <c r="B19" s="160"/>
      <c r="C19" s="161" t="b">
        <v>0</v>
      </c>
      <c r="D19" s="162" t="b">
        <v>0</v>
      </c>
      <c r="E19" s="162" t="b">
        <v>0</v>
      </c>
      <c r="F19" s="162" t="b">
        <v>0</v>
      </c>
      <c r="G19" s="162" t="b">
        <v>0</v>
      </c>
      <c r="H19" s="162" t="b">
        <v>0</v>
      </c>
      <c r="I19" s="162" t="b">
        <v>0</v>
      </c>
      <c r="J19" s="163" t="b">
        <v>0</v>
      </c>
      <c r="K19" s="163" t="b">
        <v>0</v>
      </c>
      <c r="L19" s="163" t="b">
        <v>0</v>
      </c>
      <c r="M19" s="163" t="b">
        <v>0</v>
      </c>
      <c r="N19" s="163" t="b">
        <v>0</v>
      </c>
      <c r="O19" s="163" t="b">
        <v>0</v>
      </c>
      <c r="P19" s="163" t="b">
        <v>0</v>
      </c>
      <c r="Q19" s="164" t="b">
        <v>0</v>
      </c>
      <c r="R19" s="164" t="b">
        <v>0</v>
      </c>
      <c r="S19" s="164" t="b">
        <v>0</v>
      </c>
      <c r="T19" s="164" t="b">
        <v>0</v>
      </c>
      <c r="U19" s="164" t="b">
        <v>0</v>
      </c>
      <c r="V19" s="164" t="b">
        <v>0</v>
      </c>
      <c r="W19" s="164" t="b">
        <v>0</v>
      </c>
      <c r="X19" s="165" t="b">
        <v>0</v>
      </c>
      <c r="Y19" s="165" t="b">
        <v>0</v>
      </c>
      <c r="Z19" s="165" t="b">
        <v>0</v>
      </c>
      <c r="AA19" s="165" t="b">
        <v>0</v>
      </c>
      <c r="AB19" s="165" t="b">
        <v>0</v>
      </c>
      <c r="AC19" s="165" t="b">
        <v>0</v>
      </c>
      <c r="AD19" s="165" t="b">
        <v>0</v>
      </c>
      <c r="AE19" s="166" t="b">
        <v>0</v>
      </c>
      <c r="AF19" s="166" t="b">
        <v>0</v>
      </c>
      <c r="AG19" s="166" t="b">
        <v>0</v>
      </c>
      <c r="AH19" s="149"/>
      <c r="AI19" s="167"/>
      <c r="AJ19" s="160">
        <v>0.0</v>
      </c>
      <c r="AK19" s="169" t="str">
        <f>IFERROR(__xludf.DUMMYFUNCTION("iferror(SPARKLINE(AJ19/AI19,{""charttype"",""bar"";""max"",1;""color1"",""#c9e4b2""}))"),"")</f>
        <v/>
      </c>
      <c r="AL19" s="46"/>
      <c r="AM19" s="47"/>
      <c r="AN19" s="170"/>
    </row>
    <row r="20" ht="17.25" customHeight="1">
      <c r="A20" s="121"/>
      <c r="B20" s="160"/>
      <c r="C20" s="161" t="b">
        <v>0</v>
      </c>
      <c r="D20" s="162" t="b">
        <v>0</v>
      </c>
      <c r="E20" s="162" t="b">
        <v>0</v>
      </c>
      <c r="F20" s="162" t="b">
        <v>0</v>
      </c>
      <c r="G20" s="162" t="b">
        <v>0</v>
      </c>
      <c r="H20" s="162" t="b">
        <v>0</v>
      </c>
      <c r="I20" s="162" t="b">
        <v>0</v>
      </c>
      <c r="J20" s="163" t="b">
        <v>0</v>
      </c>
      <c r="K20" s="163" t="b">
        <v>0</v>
      </c>
      <c r="L20" s="163" t="b">
        <v>0</v>
      </c>
      <c r="M20" s="163" t="b">
        <v>0</v>
      </c>
      <c r="N20" s="163" t="b">
        <v>0</v>
      </c>
      <c r="O20" s="163" t="b">
        <v>0</v>
      </c>
      <c r="P20" s="163" t="b">
        <v>0</v>
      </c>
      <c r="Q20" s="164" t="b">
        <v>0</v>
      </c>
      <c r="R20" s="164" t="b">
        <v>0</v>
      </c>
      <c r="S20" s="164" t="b">
        <v>0</v>
      </c>
      <c r="T20" s="164" t="b">
        <v>0</v>
      </c>
      <c r="U20" s="164" t="b">
        <v>0</v>
      </c>
      <c r="V20" s="164" t="b">
        <v>0</v>
      </c>
      <c r="W20" s="164" t="b">
        <v>0</v>
      </c>
      <c r="X20" s="165" t="b">
        <v>0</v>
      </c>
      <c r="Y20" s="165" t="b">
        <v>0</v>
      </c>
      <c r="Z20" s="165" t="b">
        <v>0</v>
      </c>
      <c r="AA20" s="165" t="b">
        <v>0</v>
      </c>
      <c r="AB20" s="165" t="b">
        <v>0</v>
      </c>
      <c r="AC20" s="165" t="b">
        <v>0</v>
      </c>
      <c r="AD20" s="165" t="b">
        <v>0</v>
      </c>
      <c r="AE20" s="166" t="b">
        <v>0</v>
      </c>
      <c r="AF20" s="166" t="b">
        <v>0</v>
      </c>
      <c r="AG20" s="166" t="b">
        <v>0</v>
      </c>
      <c r="AH20" s="149"/>
      <c r="AI20" s="167"/>
      <c r="AJ20" s="160">
        <v>0.0</v>
      </c>
      <c r="AK20" s="169" t="str">
        <f>IFERROR(__xludf.DUMMYFUNCTION("iferror(SPARKLINE(AJ20/AI20,{""charttype"",""bar"";""max"",1;""color1"",""#c9e4b2""}))"),"")</f>
        <v/>
      </c>
      <c r="AL20" s="46"/>
      <c r="AM20" s="47"/>
      <c r="AN20" s="170"/>
    </row>
    <row r="21" ht="17.25" customHeight="1">
      <c r="A21" s="121"/>
      <c r="B21" s="160"/>
      <c r="C21" s="171" t="b">
        <v>0</v>
      </c>
      <c r="D21" s="172" t="b">
        <v>0</v>
      </c>
      <c r="E21" s="172" t="b">
        <v>0</v>
      </c>
      <c r="F21" s="172" t="b">
        <v>0</v>
      </c>
      <c r="G21" s="172" t="b">
        <v>0</v>
      </c>
      <c r="H21" s="172" t="b">
        <v>0</v>
      </c>
      <c r="I21" s="172" t="b">
        <v>0</v>
      </c>
      <c r="J21" s="173" t="b">
        <v>0</v>
      </c>
      <c r="K21" s="173" t="b">
        <v>0</v>
      </c>
      <c r="L21" s="173" t="b">
        <v>0</v>
      </c>
      <c r="M21" s="173" t="b">
        <v>0</v>
      </c>
      <c r="N21" s="173" t="b">
        <v>0</v>
      </c>
      <c r="O21" s="173" t="b">
        <v>0</v>
      </c>
      <c r="P21" s="173" t="b">
        <v>0</v>
      </c>
      <c r="Q21" s="174" t="b">
        <v>0</v>
      </c>
      <c r="R21" s="174" t="b">
        <v>0</v>
      </c>
      <c r="S21" s="174" t="b">
        <v>0</v>
      </c>
      <c r="T21" s="174" t="b">
        <v>0</v>
      </c>
      <c r="U21" s="174" t="b">
        <v>0</v>
      </c>
      <c r="V21" s="174" t="b">
        <v>0</v>
      </c>
      <c r="W21" s="174" t="b">
        <v>0</v>
      </c>
      <c r="X21" s="175" t="b">
        <v>0</v>
      </c>
      <c r="Y21" s="175" t="b">
        <v>0</v>
      </c>
      <c r="Z21" s="175" t="b">
        <v>0</v>
      </c>
      <c r="AA21" s="175" t="b">
        <v>0</v>
      </c>
      <c r="AB21" s="175" t="b">
        <v>0</v>
      </c>
      <c r="AC21" s="175" t="b">
        <v>0</v>
      </c>
      <c r="AD21" s="175" t="b">
        <v>0</v>
      </c>
      <c r="AE21" s="176" t="b">
        <v>0</v>
      </c>
      <c r="AF21" s="176" t="b">
        <v>0</v>
      </c>
      <c r="AG21" s="176" t="b">
        <v>0</v>
      </c>
      <c r="AH21" s="149"/>
      <c r="AI21" s="167"/>
      <c r="AJ21" s="160">
        <v>0.0</v>
      </c>
      <c r="AK21" s="169" t="str">
        <f>IFERROR(__xludf.DUMMYFUNCTION("iferror(SPARKLINE(AJ21/AI21,{""charttype"",""bar"";""max"",1;""color1"",""#c9e4b2""}))"),"")</f>
        <v/>
      </c>
      <c r="AL21" s="46"/>
      <c r="AM21" s="47"/>
      <c r="AN21" s="170"/>
    </row>
    <row r="22" ht="17.25" customHeight="1">
      <c r="A22" s="121"/>
      <c r="B22" s="121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49"/>
      <c r="AK22" s="149"/>
      <c r="AL22" s="149"/>
      <c r="AM22" s="149"/>
      <c r="AN22" s="149"/>
    </row>
    <row r="23" ht="17.25" customHeight="1">
      <c r="A23" s="121"/>
      <c r="B23" s="219" t="s">
        <v>26</v>
      </c>
      <c r="C23" s="178">
        <f t="shared" ref="C23:AG23" si="1">COUNTIF(C10:C21, TRUE)/COUNTA(C10:C21)</f>
        <v>0</v>
      </c>
      <c r="D23" s="178">
        <f t="shared" si="1"/>
        <v>0</v>
      </c>
      <c r="E23" s="178">
        <f t="shared" si="1"/>
        <v>0</v>
      </c>
      <c r="F23" s="178">
        <f t="shared" si="1"/>
        <v>0</v>
      </c>
      <c r="G23" s="178">
        <f t="shared" si="1"/>
        <v>0</v>
      </c>
      <c r="H23" s="178">
        <f t="shared" si="1"/>
        <v>0</v>
      </c>
      <c r="I23" s="178">
        <f t="shared" si="1"/>
        <v>0</v>
      </c>
      <c r="J23" s="178">
        <f t="shared" si="1"/>
        <v>0</v>
      </c>
      <c r="K23" s="178">
        <f t="shared" si="1"/>
        <v>0</v>
      </c>
      <c r="L23" s="178">
        <f t="shared" si="1"/>
        <v>0</v>
      </c>
      <c r="M23" s="178">
        <f t="shared" si="1"/>
        <v>0</v>
      </c>
      <c r="N23" s="178">
        <f t="shared" si="1"/>
        <v>0</v>
      </c>
      <c r="O23" s="178">
        <f t="shared" si="1"/>
        <v>0</v>
      </c>
      <c r="P23" s="178">
        <f t="shared" si="1"/>
        <v>0</v>
      </c>
      <c r="Q23" s="178">
        <f t="shared" si="1"/>
        <v>0</v>
      </c>
      <c r="R23" s="178">
        <f t="shared" si="1"/>
        <v>0</v>
      </c>
      <c r="S23" s="178">
        <f t="shared" si="1"/>
        <v>0</v>
      </c>
      <c r="T23" s="178">
        <f t="shared" si="1"/>
        <v>0</v>
      </c>
      <c r="U23" s="178">
        <f t="shared" si="1"/>
        <v>0</v>
      </c>
      <c r="V23" s="178">
        <f t="shared" si="1"/>
        <v>0</v>
      </c>
      <c r="W23" s="178">
        <f t="shared" si="1"/>
        <v>0</v>
      </c>
      <c r="X23" s="178">
        <f t="shared" si="1"/>
        <v>0</v>
      </c>
      <c r="Y23" s="178">
        <f t="shared" si="1"/>
        <v>0</v>
      </c>
      <c r="Z23" s="178">
        <f t="shared" si="1"/>
        <v>0</v>
      </c>
      <c r="AA23" s="178">
        <f t="shared" si="1"/>
        <v>0</v>
      </c>
      <c r="AB23" s="178">
        <f t="shared" si="1"/>
        <v>0</v>
      </c>
      <c r="AC23" s="178">
        <f t="shared" si="1"/>
        <v>0</v>
      </c>
      <c r="AD23" s="178">
        <f t="shared" si="1"/>
        <v>0</v>
      </c>
      <c r="AE23" s="178">
        <f t="shared" si="1"/>
        <v>0</v>
      </c>
      <c r="AF23" s="178">
        <f t="shared" si="1"/>
        <v>0</v>
      </c>
      <c r="AG23" s="178">
        <f t="shared" si="1"/>
        <v>0</v>
      </c>
      <c r="AH23" s="149"/>
      <c r="AI23" s="179"/>
      <c r="AJ23" s="180"/>
      <c r="AK23" s="149"/>
      <c r="AL23" s="149"/>
      <c r="AM23" s="149"/>
      <c r="AN23" s="149"/>
    </row>
    <row r="24" ht="17.25" customHeight="1">
      <c r="A24" s="121"/>
      <c r="B24" s="219" t="s">
        <v>51</v>
      </c>
      <c r="C24" s="181">
        <f t="shared" ref="C24:AG24" si="2">COUNTIF(C10:C21, true)</f>
        <v>0</v>
      </c>
      <c r="D24" s="181">
        <f t="shared" si="2"/>
        <v>0</v>
      </c>
      <c r="E24" s="181">
        <f t="shared" si="2"/>
        <v>0</v>
      </c>
      <c r="F24" s="181">
        <f t="shared" si="2"/>
        <v>0</v>
      </c>
      <c r="G24" s="181">
        <f t="shared" si="2"/>
        <v>0</v>
      </c>
      <c r="H24" s="181">
        <f t="shared" si="2"/>
        <v>0</v>
      </c>
      <c r="I24" s="181">
        <f t="shared" si="2"/>
        <v>0</v>
      </c>
      <c r="J24" s="181">
        <f t="shared" si="2"/>
        <v>0</v>
      </c>
      <c r="K24" s="181">
        <f t="shared" si="2"/>
        <v>0</v>
      </c>
      <c r="L24" s="181">
        <f t="shared" si="2"/>
        <v>0</v>
      </c>
      <c r="M24" s="181">
        <f t="shared" si="2"/>
        <v>0</v>
      </c>
      <c r="N24" s="181">
        <f t="shared" si="2"/>
        <v>0</v>
      </c>
      <c r="O24" s="181">
        <f t="shared" si="2"/>
        <v>0</v>
      </c>
      <c r="P24" s="181">
        <f t="shared" si="2"/>
        <v>0</v>
      </c>
      <c r="Q24" s="181">
        <f t="shared" si="2"/>
        <v>0</v>
      </c>
      <c r="R24" s="181">
        <f t="shared" si="2"/>
        <v>0</v>
      </c>
      <c r="S24" s="181">
        <f t="shared" si="2"/>
        <v>0</v>
      </c>
      <c r="T24" s="181">
        <f t="shared" si="2"/>
        <v>0</v>
      </c>
      <c r="U24" s="181">
        <f t="shared" si="2"/>
        <v>0</v>
      </c>
      <c r="V24" s="181">
        <f t="shared" si="2"/>
        <v>0</v>
      </c>
      <c r="W24" s="181">
        <f t="shared" si="2"/>
        <v>0</v>
      </c>
      <c r="X24" s="181">
        <f t="shared" si="2"/>
        <v>0</v>
      </c>
      <c r="Y24" s="181">
        <f t="shared" si="2"/>
        <v>0</v>
      </c>
      <c r="Z24" s="181">
        <f t="shared" si="2"/>
        <v>0</v>
      </c>
      <c r="AA24" s="181">
        <f t="shared" si="2"/>
        <v>0</v>
      </c>
      <c r="AB24" s="181">
        <f t="shared" si="2"/>
        <v>0</v>
      </c>
      <c r="AC24" s="181">
        <f t="shared" si="2"/>
        <v>0</v>
      </c>
      <c r="AD24" s="181">
        <f t="shared" si="2"/>
        <v>0</v>
      </c>
      <c r="AE24" s="181">
        <f t="shared" si="2"/>
        <v>0</v>
      </c>
      <c r="AF24" s="181">
        <f t="shared" si="2"/>
        <v>0</v>
      </c>
      <c r="AG24" s="181">
        <f t="shared" si="2"/>
        <v>0</v>
      </c>
      <c r="AH24" s="149"/>
      <c r="AI24" s="179"/>
      <c r="AJ24" s="180"/>
      <c r="AK24" s="149"/>
      <c r="AL24" s="149"/>
      <c r="AM24" s="149"/>
      <c r="AN24" s="149"/>
    </row>
    <row r="25" ht="17.25" customHeight="1">
      <c r="A25" s="121"/>
      <c r="B25" s="219" t="s">
        <v>52</v>
      </c>
      <c r="C25" s="182">
        <f t="shared" ref="C25:AG25" si="3">COUNTIF(C10:C21, false)</f>
        <v>12</v>
      </c>
      <c r="D25" s="182">
        <f t="shared" si="3"/>
        <v>12</v>
      </c>
      <c r="E25" s="182">
        <f t="shared" si="3"/>
        <v>12</v>
      </c>
      <c r="F25" s="182">
        <f t="shared" si="3"/>
        <v>12</v>
      </c>
      <c r="G25" s="182">
        <f t="shared" si="3"/>
        <v>12</v>
      </c>
      <c r="H25" s="182">
        <f t="shared" si="3"/>
        <v>12</v>
      </c>
      <c r="I25" s="182">
        <f t="shared" si="3"/>
        <v>12</v>
      </c>
      <c r="J25" s="182">
        <f t="shared" si="3"/>
        <v>12</v>
      </c>
      <c r="K25" s="182">
        <f t="shared" si="3"/>
        <v>12</v>
      </c>
      <c r="L25" s="182">
        <f t="shared" si="3"/>
        <v>12</v>
      </c>
      <c r="M25" s="182">
        <f t="shared" si="3"/>
        <v>12</v>
      </c>
      <c r="N25" s="182">
        <f t="shared" si="3"/>
        <v>12</v>
      </c>
      <c r="O25" s="182">
        <f t="shared" si="3"/>
        <v>12</v>
      </c>
      <c r="P25" s="182">
        <f t="shared" si="3"/>
        <v>12</v>
      </c>
      <c r="Q25" s="182">
        <f t="shared" si="3"/>
        <v>12</v>
      </c>
      <c r="R25" s="182">
        <f t="shared" si="3"/>
        <v>12</v>
      </c>
      <c r="S25" s="182">
        <f t="shared" si="3"/>
        <v>12</v>
      </c>
      <c r="T25" s="182">
        <f t="shared" si="3"/>
        <v>12</v>
      </c>
      <c r="U25" s="182">
        <f t="shared" si="3"/>
        <v>12</v>
      </c>
      <c r="V25" s="182">
        <f t="shared" si="3"/>
        <v>12</v>
      </c>
      <c r="W25" s="182">
        <f t="shared" si="3"/>
        <v>12</v>
      </c>
      <c r="X25" s="182">
        <f t="shared" si="3"/>
        <v>12</v>
      </c>
      <c r="Y25" s="182">
        <f t="shared" si="3"/>
        <v>12</v>
      </c>
      <c r="Z25" s="182">
        <f t="shared" si="3"/>
        <v>12</v>
      </c>
      <c r="AA25" s="182">
        <f t="shared" si="3"/>
        <v>12</v>
      </c>
      <c r="AB25" s="182">
        <f t="shared" si="3"/>
        <v>12</v>
      </c>
      <c r="AC25" s="182">
        <f t="shared" si="3"/>
        <v>12</v>
      </c>
      <c r="AD25" s="182">
        <f t="shared" si="3"/>
        <v>12</v>
      </c>
      <c r="AE25" s="182">
        <f t="shared" si="3"/>
        <v>12</v>
      </c>
      <c r="AF25" s="182">
        <f t="shared" si="3"/>
        <v>12</v>
      </c>
      <c r="AG25" s="182">
        <f t="shared" si="3"/>
        <v>12</v>
      </c>
      <c r="AH25" s="149"/>
      <c r="AI25" s="179"/>
      <c r="AJ25" s="180"/>
      <c r="AK25" s="149"/>
      <c r="AL25" s="149"/>
      <c r="AM25" s="149"/>
      <c r="AN25" s="149"/>
    </row>
    <row r="26" ht="17.25" customHeight="1">
      <c r="A26" s="121"/>
      <c r="B26" s="121"/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  <c r="AA26" s="149"/>
      <c r="AB26" s="149"/>
      <c r="AC26" s="149"/>
      <c r="AD26" s="149"/>
      <c r="AE26" s="149"/>
      <c r="AF26" s="149"/>
      <c r="AG26" s="149"/>
      <c r="AH26" s="149"/>
      <c r="AI26" s="179"/>
      <c r="AJ26" s="180"/>
      <c r="AK26" s="149"/>
      <c r="AL26" s="149"/>
      <c r="AM26" s="149"/>
      <c r="AN26" s="149"/>
    </row>
    <row r="27" ht="17.25" customHeight="1">
      <c r="A27" s="121"/>
      <c r="B27" s="121"/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  <c r="AA27" s="149"/>
      <c r="AB27" s="149"/>
      <c r="AC27" s="149"/>
      <c r="AD27" s="149"/>
      <c r="AE27" s="149"/>
      <c r="AF27" s="149"/>
      <c r="AG27" s="149"/>
      <c r="AH27" s="149"/>
      <c r="AI27" s="179"/>
      <c r="AJ27" s="180"/>
      <c r="AK27" s="149"/>
      <c r="AL27" s="149"/>
      <c r="AM27" s="149"/>
      <c r="AN27" s="149"/>
    </row>
    <row r="28" ht="17.25" customHeight="1">
      <c r="A28" s="121"/>
      <c r="B28" s="121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  <c r="AB28" s="149"/>
      <c r="AC28" s="149"/>
      <c r="AD28" s="149"/>
      <c r="AE28" s="149"/>
      <c r="AF28" s="149"/>
      <c r="AG28" s="149"/>
      <c r="AH28" s="149"/>
      <c r="AI28" s="179"/>
      <c r="AJ28" s="180"/>
      <c r="AK28" s="149"/>
      <c r="AL28" s="149"/>
      <c r="AM28" s="149"/>
      <c r="AN28" s="149"/>
    </row>
    <row r="29" ht="17.25" customHeight="1">
      <c r="A29" s="121"/>
      <c r="B29" s="121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79"/>
      <c r="AJ29" s="180"/>
      <c r="AK29" s="149"/>
      <c r="AL29" s="149"/>
      <c r="AM29" s="149"/>
      <c r="AN29" s="149"/>
    </row>
    <row r="30" ht="17.25" customHeight="1">
      <c r="A30" s="121"/>
      <c r="B30" s="121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49"/>
      <c r="AE30" s="149"/>
      <c r="AF30" s="149"/>
      <c r="AG30" s="149"/>
      <c r="AH30" s="149"/>
      <c r="AI30" s="179"/>
      <c r="AJ30" s="180"/>
      <c r="AK30" s="149"/>
      <c r="AL30" s="149"/>
      <c r="AM30" s="149"/>
      <c r="AN30" s="149"/>
    </row>
    <row r="31" ht="17.25" customHeight="1">
      <c r="A31" s="121"/>
      <c r="B31" s="121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  <c r="AI31" s="179"/>
      <c r="AJ31" s="180"/>
      <c r="AK31" s="149"/>
      <c r="AL31" s="149"/>
      <c r="AM31" s="149"/>
      <c r="AN31" s="149"/>
    </row>
    <row r="32" ht="17.25" customHeight="1">
      <c r="A32" s="121"/>
      <c r="B32" s="121"/>
      <c r="C32" s="149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79"/>
      <c r="AJ32" s="180"/>
      <c r="AK32" s="149"/>
      <c r="AL32" s="149"/>
      <c r="AM32" s="149"/>
      <c r="AN32" s="149"/>
    </row>
    <row r="33" ht="17.25" customHeight="1">
      <c r="A33" s="121"/>
      <c r="B33" s="121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149"/>
      <c r="AG33" s="149"/>
      <c r="AH33" s="149"/>
      <c r="AI33" s="179"/>
      <c r="AJ33" s="180"/>
      <c r="AK33" s="149"/>
      <c r="AL33" s="149"/>
      <c r="AM33" s="149"/>
      <c r="AN33" s="149"/>
    </row>
    <row r="34" ht="17.25" customHeight="1">
      <c r="A34" s="121"/>
      <c r="B34" s="121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  <c r="AC34" s="149"/>
      <c r="AD34" s="149"/>
      <c r="AE34" s="149"/>
      <c r="AF34" s="149"/>
      <c r="AG34" s="149"/>
      <c r="AH34" s="149"/>
      <c r="AI34" s="179"/>
      <c r="AJ34" s="180"/>
      <c r="AK34" s="149"/>
      <c r="AL34" s="149"/>
      <c r="AM34" s="149"/>
      <c r="AN34" s="149"/>
    </row>
    <row r="35" ht="17.25" customHeight="1">
      <c r="A35" s="121"/>
      <c r="B35" s="121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149"/>
      <c r="AE35" s="149"/>
      <c r="AF35" s="149"/>
      <c r="AG35" s="149"/>
      <c r="AH35" s="149"/>
      <c r="AI35" s="183"/>
      <c r="AJ35" s="183"/>
      <c r="AK35" s="149"/>
      <c r="AL35" s="149"/>
      <c r="AM35" s="149"/>
      <c r="AN35" s="149"/>
    </row>
    <row r="36" ht="17.25" customHeight="1">
      <c r="A36" s="121"/>
      <c r="B36" s="184" t="s">
        <v>53</v>
      </c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7"/>
      <c r="AH36" s="149"/>
      <c r="AI36" s="184" t="s">
        <v>54</v>
      </c>
      <c r="AJ36" s="46"/>
      <c r="AK36" s="46"/>
      <c r="AL36" s="46"/>
      <c r="AM36" s="47"/>
      <c r="AN36" s="149"/>
    </row>
    <row r="37" ht="17.25" customHeight="1">
      <c r="A37" s="121"/>
      <c r="B37" s="185" t="s">
        <v>55</v>
      </c>
      <c r="C37" s="186"/>
      <c r="D37" s="186"/>
      <c r="E37" s="186"/>
      <c r="F37" s="186"/>
      <c r="G37" s="186"/>
      <c r="H37" s="186"/>
      <c r="I37" s="186"/>
      <c r="J37" s="186"/>
      <c r="K37" s="186"/>
      <c r="L37" s="186"/>
      <c r="M37" s="186"/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  <c r="AA37" s="186"/>
      <c r="AB37" s="186"/>
      <c r="AC37" s="186"/>
      <c r="AD37" s="186"/>
      <c r="AE37" s="186"/>
      <c r="AF37" s="186"/>
      <c r="AG37" s="186"/>
      <c r="AH37" s="149"/>
      <c r="AI37" s="187" t="str">
        <f t="shared" ref="AI37:AI39" si="4">iferror(Average(C37:AG37), "")</f>
        <v/>
      </c>
      <c r="AJ37" s="46"/>
      <c r="AK37" s="46"/>
      <c r="AL37" s="46"/>
      <c r="AM37" s="47"/>
      <c r="AN37" s="149"/>
    </row>
    <row r="38" ht="17.25" customHeight="1">
      <c r="A38" s="121"/>
      <c r="B38" s="185" t="s">
        <v>56</v>
      </c>
      <c r="C38" s="188"/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88"/>
      <c r="P38" s="188"/>
      <c r="Q38" s="188"/>
      <c r="R38" s="188"/>
      <c r="S38" s="188"/>
      <c r="T38" s="188"/>
      <c r="U38" s="188"/>
      <c r="V38" s="188"/>
      <c r="W38" s="188"/>
      <c r="X38" s="188"/>
      <c r="Y38" s="188"/>
      <c r="Z38" s="188"/>
      <c r="AA38" s="188"/>
      <c r="AB38" s="188"/>
      <c r="AC38" s="188"/>
      <c r="AD38" s="188"/>
      <c r="AE38" s="188"/>
      <c r="AF38" s="188"/>
      <c r="AG38" s="188"/>
      <c r="AH38" s="149"/>
      <c r="AI38" s="187" t="str">
        <f t="shared" si="4"/>
        <v/>
      </c>
      <c r="AJ38" s="46"/>
      <c r="AK38" s="46"/>
      <c r="AL38" s="46"/>
      <c r="AM38" s="47"/>
      <c r="AN38" s="149"/>
    </row>
    <row r="39" ht="17.25" customHeight="1">
      <c r="A39" s="121"/>
      <c r="B39" s="185" t="s">
        <v>63</v>
      </c>
      <c r="C39" s="189"/>
      <c r="D39" s="189"/>
      <c r="E39" s="189"/>
      <c r="F39" s="189"/>
      <c r="G39" s="189"/>
      <c r="H39" s="189"/>
      <c r="I39" s="189"/>
      <c r="J39" s="189"/>
      <c r="K39" s="189"/>
      <c r="L39" s="189"/>
      <c r="M39" s="189"/>
      <c r="N39" s="189"/>
      <c r="O39" s="189"/>
      <c r="P39" s="189"/>
      <c r="Q39" s="189"/>
      <c r="R39" s="189"/>
      <c r="S39" s="189"/>
      <c r="T39" s="189"/>
      <c r="U39" s="189"/>
      <c r="V39" s="189"/>
      <c r="W39" s="189"/>
      <c r="X39" s="189"/>
      <c r="Y39" s="189"/>
      <c r="Z39" s="189"/>
      <c r="AA39" s="189"/>
      <c r="AB39" s="189"/>
      <c r="AC39" s="189"/>
      <c r="AD39" s="189"/>
      <c r="AE39" s="189"/>
      <c r="AF39" s="189"/>
      <c r="AG39" s="189"/>
      <c r="AH39" s="149"/>
      <c r="AI39" s="187" t="str">
        <f t="shared" si="4"/>
        <v/>
      </c>
      <c r="AJ39" s="46"/>
      <c r="AK39" s="46"/>
      <c r="AL39" s="46"/>
      <c r="AM39" s="47"/>
      <c r="AN39" s="149"/>
    </row>
    <row r="40" ht="17.25" customHeight="1">
      <c r="A40" s="121"/>
      <c r="B40" s="121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  <c r="AK40" s="149"/>
      <c r="AL40" s="149"/>
      <c r="AM40" s="149"/>
      <c r="AN40" s="149"/>
    </row>
    <row r="41" ht="17.25" customHeight="1">
      <c r="A41" s="121"/>
      <c r="B41" s="121"/>
      <c r="C41" s="149"/>
      <c r="D41" s="149"/>
      <c r="E41" s="149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  <c r="AB41" s="149"/>
      <c r="AC41" s="149"/>
      <c r="AD41" s="149"/>
      <c r="AE41" s="149"/>
      <c r="AF41" s="149"/>
      <c r="AG41" s="149"/>
      <c r="AH41" s="149"/>
      <c r="AI41" s="149"/>
      <c r="AJ41" s="149"/>
      <c r="AK41" s="149"/>
      <c r="AL41" s="149"/>
      <c r="AM41" s="149"/>
      <c r="AN41" s="149"/>
    </row>
    <row r="42" ht="17.25" customHeight="1">
      <c r="A42" s="121"/>
      <c r="B42" s="136" t="s">
        <v>58</v>
      </c>
      <c r="C42" s="190" t="s">
        <v>44</v>
      </c>
      <c r="D42" s="46"/>
      <c r="E42" s="46"/>
      <c r="F42" s="46"/>
      <c r="G42" s="46"/>
      <c r="H42" s="47"/>
      <c r="I42" s="151"/>
      <c r="J42" s="191" t="s">
        <v>45</v>
      </c>
      <c r="K42" s="46"/>
      <c r="L42" s="46"/>
      <c r="M42" s="46"/>
      <c r="N42" s="46"/>
      <c r="O42" s="47"/>
      <c r="P42" s="152"/>
      <c r="Q42" s="192" t="s">
        <v>46</v>
      </c>
      <c r="R42" s="46"/>
      <c r="S42" s="46"/>
      <c r="T42" s="46"/>
      <c r="U42" s="46"/>
      <c r="V42" s="47"/>
      <c r="W42" s="154"/>
      <c r="X42" s="193" t="s">
        <v>47</v>
      </c>
      <c r="Y42" s="46"/>
      <c r="Z42" s="46"/>
      <c r="AA42" s="46"/>
      <c r="AB42" s="46"/>
      <c r="AC42" s="47"/>
      <c r="AD42" s="153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</row>
    <row r="43" ht="17.25" customHeight="1">
      <c r="A43" s="121"/>
      <c r="B43" s="86"/>
      <c r="C43" s="194"/>
      <c r="D43" s="46"/>
      <c r="E43" s="46"/>
      <c r="F43" s="46"/>
      <c r="G43" s="46"/>
      <c r="H43" s="47"/>
      <c r="I43" s="195" t="b">
        <v>0</v>
      </c>
      <c r="J43" s="196"/>
      <c r="K43" s="46"/>
      <c r="L43" s="46"/>
      <c r="M43" s="46"/>
      <c r="N43" s="46"/>
      <c r="O43" s="47"/>
      <c r="P43" s="197" t="b">
        <v>0</v>
      </c>
      <c r="Q43" s="198"/>
      <c r="R43" s="46"/>
      <c r="S43" s="46"/>
      <c r="T43" s="46"/>
      <c r="U43" s="46"/>
      <c r="V43" s="47"/>
      <c r="W43" s="199" t="b">
        <v>0</v>
      </c>
      <c r="X43" s="200"/>
      <c r="Y43" s="46"/>
      <c r="Z43" s="46"/>
      <c r="AA43" s="46"/>
      <c r="AB43" s="46"/>
      <c r="AC43" s="47"/>
      <c r="AD43" s="201" t="b">
        <v>0</v>
      </c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</row>
    <row r="44" ht="17.25" customHeight="1">
      <c r="A44" s="121"/>
      <c r="B44" s="121"/>
      <c r="C44" s="194"/>
      <c r="D44" s="46"/>
      <c r="E44" s="46"/>
      <c r="F44" s="46"/>
      <c r="G44" s="46"/>
      <c r="H44" s="47"/>
      <c r="I44" s="195" t="b">
        <v>0</v>
      </c>
      <c r="J44" s="196"/>
      <c r="K44" s="46"/>
      <c r="L44" s="46"/>
      <c r="M44" s="46"/>
      <c r="N44" s="46"/>
      <c r="O44" s="47"/>
      <c r="P44" s="197" t="b">
        <v>0</v>
      </c>
      <c r="Q44" s="198"/>
      <c r="R44" s="46"/>
      <c r="S44" s="46"/>
      <c r="T44" s="46"/>
      <c r="U44" s="46"/>
      <c r="V44" s="47"/>
      <c r="W44" s="199" t="b">
        <v>0</v>
      </c>
      <c r="X44" s="200"/>
      <c r="Y44" s="46"/>
      <c r="Z44" s="46"/>
      <c r="AA44" s="46"/>
      <c r="AB44" s="46"/>
      <c r="AC44" s="47"/>
      <c r="AD44" s="201" t="b">
        <v>0</v>
      </c>
      <c r="AE44" s="121"/>
      <c r="AF44" s="121"/>
      <c r="AG44" s="202" t="s">
        <v>59</v>
      </c>
      <c r="AH44" s="121"/>
      <c r="AI44" s="121"/>
      <c r="AJ44" s="121"/>
      <c r="AK44" s="121"/>
      <c r="AL44" s="121"/>
      <c r="AM44" s="121"/>
      <c r="AN44" s="121"/>
    </row>
    <row r="45" ht="17.25" customHeight="1">
      <c r="A45" s="121"/>
      <c r="B45" s="121"/>
      <c r="C45" s="194"/>
      <c r="D45" s="46"/>
      <c r="E45" s="46"/>
      <c r="F45" s="46"/>
      <c r="G45" s="46"/>
      <c r="H45" s="47"/>
      <c r="I45" s="195" t="b">
        <v>0</v>
      </c>
      <c r="J45" s="196"/>
      <c r="K45" s="46"/>
      <c r="L45" s="46"/>
      <c r="M45" s="46"/>
      <c r="N45" s="46"/>
      <c r="O45" s="47"/>
      <c r="P45" s="197" t="b">
        <v>0</v>
      </c>
      <c r="Q45" s="198"/>
      <c r="R45" s="46"/>
      <c r="S45" s="46"/>
      <c r="T45" s="46"/>
      <c r="U45" s="46"/>
      <c r="V45" s="47"/>
      <c r="W45" s="199" t="b">
        <v>0</v>
      </c>
      <c r="X45" s="200"/>
      <c r="Y45" s="46"/>
      <c r="Z45" s="46"/>
      <c r="AA45" s="46"/>
      <c r="AB45" s="46"/>
      <c r="AC45" s="47"/>
      <c r="AD45" s="201" t="b">
        <v>0</v>
      </c>
      <c r="AE45" s="121"/>
      <c r="AF45" s="121"/>
      <c r="AG45" s="203">
        <v>2.0</v>
      </c>
      <c r="AH45" s="120"/>
      <c r="AI45" s="120"/>
      <c r="AJ45" s="120"/>
      <c r="AK45" s="120"/>
      <c r="AL45" s="120"/>
      <c r="AM45" s="120"/>
      <c r="AN45" s="120"/>
    </row>
    <row r="46" ht="17.25" customHeight="1">
      <c r="A46" s="121"/>
      <c r="B46" s="121"/>
      <c r="C46" s="194"/>
      <c r="D46" s="46"/>
      <c r="E46" s="46"/>
      <c r="F46" s="46"/>
      <c r="G46" s="46"/>
      <c r="H46" s="47"/>
      <c r="I46" s="195" t="b">
        <v>0</v>
      </c>
      <c r="J46" s="196"/>
      <c r="K46" s="46"/>
      <c r="L46" s="46"/>
      <c r="M46" s="46"/>
      <c r="N46" s="46"/>
      <c r="O46" s="47"/>
      <c r="P46" s="197" t="b">
        <v>0</v>
      </c>
      <c r="Q46" s="198"/>
      <c r="R46" s="46"/>
      <c r="S46" s="46"/>
      <c r="T46" s="46"/>
      <c r="U46" s="46"/>
      <c r="V46" s="47"/>
      <c r="W46" s="199" t="b">
        <v>0</v>
      </c>
      <c r="X46" s="200"/>
      <c r="Y46" s="46"/>
      <c r="Z46" s="46"/>
      <c r="AA46" s="46"/>
      <c r="AB46" s="46"/>
      <c r="AC46" s="47"/>
      <c r="AD46" s="201" t="b">
        <v>0</v>
      </c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</row>
    <row r="47" ht="17.25" customHeight="1">
      <c r="A47" s="121"/>
      <c r="B47" s="121"/>
      <c r="C47" s="194"/>
      <c r="D47" s="46"/>
      <c r="E47" s="46"/>
      <c r="F47" s="46"/>
      <c r="G47" s="46"/>
      <c r="H47" s="47"/>
      <c r="I47" s="195" t="b">
        <v>0</v>
      </c>
      <c r="J47" s="196"/>
      <c r="K47" s="46"/>
      <c r="L47" s="46"/>
      <c r="M47" s="46"/>
      <c r="N47" s="46"/>
      <c r="O47" s="47"/>
      <c r="P47" s="197" t="b">
        <v>0</v>
      </c>
      <c r="Q47" s="198"/>
      <c r="R47" s="46"/>
      <c r="S47" s="46"/>
      <c r="T47" s="46"/>
      <c r="U47" s="46"/>
      <c r="V47" s="47"/>
      <c r="W47" s="199" t="b">
        <v>0</v>
      </c>
      <c r="X47" s="200"/>
      <c r="Y47" s="46"/>
      <c r="Z47" s="46"/>
      <c r="AA47" s="46"/>
      <c r="AB47" s="46"/>
      <c r="AC47" s="47"/>
      <c r="AD47" s="201" t="b">
        <v>0</v>
      </c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</row>
    <row r="48" ht="17.25" customHeight="1">
      <c r="A48" s="121"/>
      <c r="B48" s="121"/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</row>
    <row r="49" ht="17.25" customHeight="1">
      <c r="A49" s="121"/>
      <c r="B49" s="136" t="s">
        <v>60</v>
      </c>
      <c r="C49" s="204"/>
      <c r="D49" s="50"/>
      <c r="E49" s="50"/>
      <c r="F49" s="50"/>
      <c r="G49" s="50"/>
      <c r="H49" s="50"/>
      <c r="I49" s="51"/>
      <c r="J49" s="204"/>
      <c r="K49" s="50"/>
      <c r="L49" s="50"/>
      <c r="M49" s="50"/>
      <c r="N49" s="50"/>
      <c r="O49" s="50"/>
      <c r="P49" s="51"/>
      <c r="Q49" s="204"/>
      <c r="R49" s="50"/>
      <c r="S49" s="50"/>
      <c r="T49" s="50"/>
      <c r="U49" s="50"/>
      <c r="V49" s="50"/>
      <c r="W49" s="51"/>
      <c r="X49" s="204"/>
      <c r="Y49" s="50"/>
      <c r="Z49" s="50"/>
      <c r="AA49" s="50"/>
      <c r="AB49" s="50"/>
      <c r="AC49" s="50"/>
      <c r="AD49" s="5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</row>
    <row r="50" ht="17.25" customHeight="1">
      <c r="A50" s="121"/>
      <c r="B50" s="205"/>
      <c r="C50" s="206"/>
      <c r="D50" s="55"/>
      <c r="E50" s="55"/>
      <c r="F50" s="55"/>
      <c r="G50" s="55"/>
      <c r="H50" s="55"/>
      <c r="I50" s="56"/>
      <c r="J50" s="206"/>
      <c r="K50" s="55"/>
      <c r="L50" s="55"/>
      <c r="M50" s="55"/>
      <c r="N50" s="55"/>
      <c r="O50" s="55"/>
      <c r="P50" s="56"/>
      <c r="Q50" s="206"/>
      <c r="R50" s="55"/>
      <c r="S50" s="55"/>
      <c r="T50" s="55"/>
      <c r="U50" s="55"/>
      <c r="V50" s="55"/>
      <c r="W50" s="56"/>
      <c r="X50" s="206"/>
      <c r="Y50" s="55"/>
      <c r="Z50" s="55"/>
      <c r="AA50" s="55"/>
      <c r="AB50" s="55"/>
      <c r="AC50" s="55"/>
      <c r="AD50" s="56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</row>
    <row r="51" ht="17.25" customHeight="1">
      <c r="A51" s="121"/>
      <c r="B51" s="86"/>
      <c r="C51" s="207"/>
      <c r="D51" s="60"/>
      <c r="E51" s="60"/>
      <c r="F51" s="60"/>
      <c r="G51" s="60"/>
      <c r="H51" s="60"/>
      <c r="I51" s="61"/>
      <c r="J51" s="207"/>
      <c r="K51" s="60"/>
      <c r="L51" s="60"/>
      <c r="M51" s="60"/>
      <c r="N51" s="60"/>
      <c r="O51" s="60"/>
      <c r="P51" s="61"/>
      <c r="Q51" s="207"/>
      <c r="R51" s="60"/>
      <c r="S51" s="60"/>
      <c r="T51" s="60"/>
      <c r="U51" s="60"/>
      <c r="V51" s="60"/>
      <c r="W51" s="61"/>
      <c r="X51" s="207"/>
      <c r="Y51" s="60"/>
      <c r="Z51" s="60"/>
      <c r="AA51" s="60"/>
      <c r="AB51" s="60"/>
      <c r="AC51" s="60"/>
      <c r="AD51" s="6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</row>
    <row r="52" ht="17.25" customHeight="1">
      <c r="A52" s="121"/>
      <c r="B52" s="121"/>
      <c r="C52" s="208"/>
      <c r="I52" s="170"/>
      <c r="J52" s="208"/>
      <c r="P52" s="170"/>
      <c r="Q52" s="208"/>
      <c r="W52" s="170"/>
      <c r="X52" s="208"/>
      <c r="AD52" s="170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</row>
    <row r="53" ht="17.25" customHeight="1">
      <c r="A53" s="121"/>
      <c r="B53" s="121"/>
      <c r="C53" s="121"/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</row>
    <row r="54" ht="17.25" customHeight="1">
      <c r="A54" s="121"/>
      <c r="B54" s="62" t="s">
        <v>61</v>
      </c>
      <c r="C54" s="209" t="s">
        <v>62</v>
      </c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7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</row>
    <row r="55" ht="17.25" customHeight="1">
      <c r="A55" s="121"/>
      <c r="B55" s="43"/>
      <c r="C55" s="210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7"/>
      <c r="P55" s="211" t="b">
        <v>0</v>
      </c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</row>
    <row r="56" ht="17.25" customHeight="1">
      <c r="A56" s="121"/>
      <c r="B56" s="212"/>
      <c r="C56" s="210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7"/>
      <c r="P56" s="211" t="b">
        <v>0</v>
      </c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</row>
    <row r="57" ht="17.25" customHeight="1">
      <c r="A57" s="121"/>
      <c r="B57" s="212"/>
      <c r="C57" s="210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7"/>
      <c r="P57" s="211" t="b">
        <v>0</v>
      </c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</row>
    <row r="58" ht="17.25" customHeight="1">
      <c r="A58" s="121"/>
      <c r="B58" s="212"/>
      <c r="C58" s="210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7"/>
      <c r="P58" s="211" t="b">
        <v>0</v>
      </c>
      <c r="Q58" s="121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  <c r="AL58" s="121"/>
      <c r="AM58" s="121"/>
      <c r="AN58" s="121"/>
    </row>
    <row r="59" ht="17.25" customHeight="1">
      <c r="A59" s="121"/>
      <c r="B59" s="212"/>
      <c r="C59" s="210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7"/>
      <c r="P59" s="211" t="b">
        <v>0</v>
      </c>
      <c r="Q59" s="121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1"/>
      <c r="AM59" s="121"/>
      <c r="AN59" s="121"/>
    </row>
    <row r="60" ht="17.25" customHeight="1">
      <c r="A60" s="121"/>
      <c r="B60" s="121"/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  <c r="AE60" s="121"/>
      <c r="AF60" s="121"/>
      <c r="AG60" s="121"/>
      <c r="AH60" s="121"/>
      <c r="AI60" s="121"/>
      <c r="AJ60" s="121"/>
      <c r="AK60" s="121"/>
      <c r="AL60" s="121"/>
      <c r="AM60" s="121"/>
      <c r="AN60" s="121"/>
    </row>
    <row r="61" ht="17.25" hidden="1" customHeight="1">
      <c r="A61" s="121"/>
      <c r="B61" s="121"/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1"/>
      <c r="AL61" s="121"/>
      <c r="AM61" s="121"/>
      <c r="AN61" s="121"/>
    </row>
    <row r="62" ht="17.25" hidden="1" customHeight="1">
      <c r="A62" s="121"/>
      <c r="B62" s="213">
        <f>COUNTIF($I$43:$I$47, true)</f>
        <v>0</v>
      </c>
      <c r="C62" s="214" t="str">
        <f t="array" ref="C62:H66">$C$43:$H$47</f>
        <v/>
      </c>
      <c r="D62" s="214"/>
      <c r="E62" s="214"/>
      <c r="F62" s="214"/>
      <c r="G62" s="214"/>
      <c r="H62" s="214"/>
      <c r="I62" s="213">
        <f t="array" ref="I62">COUNTA(UNIQUE($C$62:$C$140))</f>
        <v>0</v>
      </c>
      <c r="J62" s="215">
        <f>sum($B$62,$B$78,$B$110,$B$126)</f>
        <v>0</v>
      </c>
      <c r="K62" s="213">
        <f>sum(COUNTA($I$43:$I$47),COUNTA($P$43:$P$47),COUNTA($W$43:$W$47),COUNTA($AD$43:$AD$47),COUNTA($P$55:$P$59))</f>
        <v>25</v>
      </c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121"/>
      <c r="AK62" s="121"/>
      <c r="AL62" s="121"/>
      <c r="AM62" s="121"/>
      <c r="AN62" s="121"/>
    </row>
    <row r="63" ht="17.25" hidden="1" customHeight="1">
      <c r="A63" s="121"/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 s="121"/>
      <c r="AH63" s="121"/>
      <c r="AI63" s="121"/>
      <c r="AJ63" s="121"/>
      <c r="AK63" s="121"/>
      <c r="AL63" s="121"/>
      <c r="AM63" s="121"/>
      <c r="AN63" s="121"/>
    </row>
    <row r="64" ht="17.25" hidden="1" customHeight="1">
      <c r="A64" s="121"/>
      <c r="B64" s="214"/>
      <c r="C64" s="214"/>
      <c r="D64" s="214"/>
      <c r="E64" s="214"/>
      <c r="F64" s="214"/>
      <c r="G64" s="214"/>
      <c r="H64" s="214"/>
      <c r="I64" s="214"/>
      <c r="J64" s="214"/>
      <c r="K64" s="214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121"/>
      <c r="AK64" s="121"/>
      <c r="AL64" s="121"/>
      <c r="AM64" s="121"/>
      <c r="AN64" s="121"/>
    </row>
    <row r="65" ht="17.25" hidden="1" customHeight="1">
      <c r="A65" s="121"/>
      <c r="B65" s="214"/>
      <c r="C65" s="214"/>
      <c r="D65" s="214"/>
      <c r="E65" s="214"/>
      <c r="F65" s="214"/>
      <c r="G65" s="214"/>
      <c r="H65" s="214"/>
      <c r="I65" s="214"/>
      <c r="J65" s="214"/>
      <c r="K65" s="214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1"/>
      <c r="AI65" s="121"/>
      <c r="AJ65" s="121"/>
      <c r="AK65" s="121"/>
      <c r="AL65" s="121"/>
      <c r="AM65" s="121"/>
      <c r="AN65" s="121"/>
    </row>
    <row r="66" ht="17.25" hidden="1" customHeight="1">
      <c r="A66" s="121"/>
      <c r="B66" s="214"/>
      <c r="C66" s="214"/>
      <c r="D66" s="214"/>
      <c r="E66" s="214"/>
      <c r="F66" s="214"/>
      <c r="G66" s="214"/>
      <c r="H66" s="214"/>
      <c r="I66" s="214"/>
      <c r="J66" s="214"/>
      <c r="K66" s="214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  <c r="AA66" s="121"/>
      <c r="AB66" s="121"/>
      <c r="AC66" s="121"/>
      <c r="AD66" s="121"/>
      <c r="AE66" s="121"/>
      <c r="AF66" s="121"/>
      <c r="AG66" s="121"/>
      <c r="AH66" s="121"/>
      <c r="AI66" s="121"/>
      <c r="AJ66" s="121"/>
      <c r="AK66" s="121"/>
      <c r="AL66" s="121"/>
      <c r="AM66" s="121"/>
      <c r="AN66" s="121"/>
    </row>
    <row r="67" ht="17.25" hidden="1" customHeight="1">
      <c r="A67" s="121"/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1"/>
      <c r="AJ67" s="121"/>
      <c r="AK67" s="121"/>
      <c r="AL67" s="121"/>
      <c r="AM67" s="121"/>
      <c r="AN67" s="121"/>
    </row>
    <row r="68" ht="17.25" hidden="1" customHeight="1">
      <c r="A68" s="121"/>
      <c r="B68" s="214"/>
      <c r="C68" s="214"/>
      <c r="D68" s="214"/>
      <c r="E68" s="214"/>
      <c r="F68" s="214"/>
      <c r="G68" s="214"/>
      <c r="H68" s="214"/>
      <c r="I68" s="214"/>
      <c r="J68" s="214"/>
      <c r="K68" s="214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  <c r="AA68" s="121"/>
      <c r="AB68" s="121"/>
      <c r="AC68" s="121"/>
      <c r="AD68" s="121"/>
      <c r="AE68" s="121"/>
      <c r="AF68" s="121"/>
      <c r="AG68" s="121"/>
      <c r="AH68" s="121"/>
      <c r="AI68" s="121"/>
      <c r="AJ68" s="121"/>
      <c r="AK68" s="121"/>
      <c r="AL68" s="121"/>
      <c r="AM68" s="121"/>
      <c r="AN68" s="121"/>
    </row>
    <row r="69" ht="17.25" hidden="1" customHeight="1">
      <c r="A69" s="121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  <c r="AC69" s="121"/>
      <c r="AD69" s="121"/>
      <c r="AE69" s="121"/>
      <c r="AF69" s="121"/>
      <c r="AG69" s="121"/>
      <c r="AH69" s="121"/>
      <c r="AI69" s="121"/>
      <c r="AJ69" s="121"/>
      <c r="AK69" s="121"/>
      <c r="AL69" s="121"/>
      <c r="AM69" s="121"/>
      <c r="AN69" s="121"/>
    </row>
    <row r="70" ht="17.25" hidden="1" customHeight="1">
      <c r="A70" s="121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  <c r="AC70" s="121"/>
      <c r="AD70" s="121"/>
      <c r="AE70" s="121"/>
      <c r="AF70" s="121"/>
      <c r="AG70" s="121"/>
      <c r="AH70" s="121"/>
      <c r="AI70" s="121"/>
      <c r="AJ70" s="121"/>
      <c r="AK70" s="121"/>
      <c r="AL70" s="121"/>
      <c r="AM70" s="121"/>
      <c r="AN70" s="121"/>
    </row>
    <row r="71" ht="17.25" hidden="1" customHeight="1">
      <c r="A71" s="121"/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  <c r="AD71" s="121"/>
      <c r="AE71" s="121"/>
      <c r="AF71" s="121"/>
      <c r="AG71" s="121"/>
      <c r="AH71" s="121"/>
      <c r="AI71" s="121"/>
      <c r="AJ71" s="121"/>
      <c r="AK71" s="121"/>
      <c r="AL71" s="121"/>
      <c r="AM71" s="121"/>
      <c r="AN71" s="121"/>
    </row>
    <row r="72" ht="17.25" hidden="1" customHeight="1">
      <c r="A72" s="121"/>
      <c r="B72" s="214"/>
      <c r="C72" s="214"/>
      <c r="D72" s="214"/>
      <c r="E72" s="214"/>
      <c r="F72" s="214"/>
      <c r="G72" s="214"/>
      <c r="H72" s="214"/>
      <c r="I72" s="214"/>
      <c r="J72" s="214"/>
      <c r="K72" s="214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  <c r="AD72" s="121"/>
      <c r="AE72" s="121"/>
      <c r="AF72" s="121"/>
      <c r="AG72" s="121"/>
      <c r="AH72" s="121"/>
      <c r="AI72" s="121"/>
      <c r="AJ72" s="121"/>
      <c r="AK72" s="121"/>
      <c r="AL72" s="121"/>
      <c r="AM72" s="121"/>
      <c r="AN72" s="121"/>
    </row>
    <row r="73" ht="17.25" hidden="1" customHeight="1">
      <c r="A73" s="121"/>
      <c r="B73" s="214"/>
      <c r="C73" s="214"/>
      <c r="D73" s="214"/>
      <c r="E73" s="214"/>
      <c r="F73" s="214"/>
      <c r="G73" s="214"/>
      <c r="H73" s="214"/>
      <c r="I73" s="214"/>
      <c r="J73" s="214"/>
      <c r="K73" s="214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  <c r="AA73" s="121"/>
      <c r="AB73" s="121"/>
      <c r="AC73" s="121"/>
      <c r="AD73" s="121"/>
      <c r="AE73" s="121"/>
      <c r="AF73" s="121"/>
      <c r="AG73" s="121"/>
      <c r="AH73" s="121"/>
      <c r="AI73" s="121"/>
      <c r="AJ73" s="121"/>
      <c r="AK73" s="121"/>
      <c r="AL73" s="121"/>
      <c r="AM73" s="121"/>
      <c r="AN73" s="121"/>
    </row>
    <row r="74" ht="17.25" hidden="1" customHeight="1">
      <c r="A74" s="121"/>
      <c r="B74" s="214"/>
      <c r="C74" s="214"/>
      <c r="D74" s="214"/>
      <c r="E74" s="214"/>
      <c r="F74" s="214"/>
      <c r="G74" s="214"/>
      <c r="H74" s="214"/>
      <c r="I74" s="214"/>
      <c r="J74" s="214"/>
      <c r="K74" s="214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  <c r="AD74" s="121"/>
      <c r="AE74" s="121"/>
      <c r="AF74" s="121"/>
      <c r="AG74" s="121"/>
      <c r="AH74" s="121"/>
      <c r="AI74" s="121"/>
      <c r="AJ74" s="121"/>
      <c r="AK74" s="121"/>
      <c r="AL74" s="121"/>
      <c r="AM74" s="121"/>
      <c r="AN74" s="121"/>
    </row>
    <row r="75" ht="17.25" hidden="1" customHeight="1">
      <c r="A75" s="121"/>
      <c r="B75" s="214"/>
      <c r="C75" s="214"/>
      <c r="D75" s="214"/>
      <c r="E75" s="214"/>
      <c r="F75" s="214"/>
      <c r="G75" s="214"/>
      <c r="H75" s="214"/>
      <c r="I75" s="214"/>
      <c r="J75" s="214"/>
      <c r="K75" s="214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  <c r="AD75" s="121"/>
      <c r="AE75" s="121"/>
      <c r="AF75" s="121"/>
      <c r="AG75" s="121"/>
      <c r="AH75" s="121"/>
      <c r="AI75" s="121"/>
      <c r="AJ75" s="121"/>
      <c r="AK75" s="121"/>
      <c r="AL75" s="121"/>
      <c r="AM75" s="121"/>
      <c r="AN75" s="121"/>
    </row>
    <row r="76" ht="17.25" hidden="1" customHeight="1">
      <c r="A76" s="121"/>
      <c r="B76" s="214"/>
      <c r="C76" s="214"/>
      <c r="D76" s="214"/>
      <c r="E76" s="214"/>
      <c r="F76" s="214"/>
      <c r="G76" s="214"/>
      <c r="H76" s="214"/>
      <c r="I76" s="214"/>
      <c r="J76" s="214"/>
      <c r="K76" s="214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  <c r="AC76" s="121"/>
      <c r="AD76" s="121"/>
      <c r="AE76" s="121"/>
      <c r="AF76" s="121"/>
      <c r="AG76" s="121"/>
      <c r="AH76" s="121"/>
      <c r="AI76" s="121"/>
      <c r="AJ76" s="121"/>
      <c r="AK76" s="121"/>
      <c r="AL76" s="121"/>
      <c r="AM76" s="121"/>
      <c r="AN76" s="121"/>
    </row>
    <row r="77" ht="17.25" hidden="1" customHeight="1">
      <c r="A77" s="121"/>
      <c r="B77" s="214"/>
      <c r="C77" s="214"/>
      <c r="D77" s="214"/>
      <c r="E77" s="214"/>
      <c r="F77" s="214"/>
      <c r="G77" s="214"/>
      <c r="H77" s="214"/>
      <c r="I77" s="214"/>
      <c r="J77" s="214"/>
      <c r="K77" s="214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  <c r="AD77" s="121"/>
      <c r="AE77" s="121"/>
      <c r="AF77" s="121"/>
      <c r="AG77" s="121"/>
      <c r="AH77" s="121"/>
      <c r="AI77" s="121"/>
      <c r="AJ77" s="121"/>
      <c r="AK77" s="121"/>
      <c r="AL77" s="121"/>
      <c r="AM77" s="121"/>
      <c r="AN77" s="121"/>
    </row>
    <row r="78" ht="17.25" hidden="1" customHeight="1">
      <c r="A78" s="121"/>
      <c r="B78" s="213">
        <f>COUNTIF($P$43:$P$47, true)</f>
        <v>0</v>
      </c>
      <c r="C78" s="214" t="str">
        <f t="array" ref="C78:H82">$J$43:$O$47</f>
        <v/>
      </c>
      <c r="D78" s="214"/>
      <c r="E78" s="214"/>
      <c r="F78" s="214"/>
      <c r="G78" s="214"/>
      <c r="H78" s="214"/>
      <c r="I78" s="214"/>
      <c r="J78" s="214"/>
      <c r="K78" s="214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  <c r="AD78" s="121"/>
      <c r="AE78" s="121"/>
      <c r="AF78" s="121"/>
      <c r="AG78" s="121"/>
      <c r="AH78" s="121"/>
      <c r="AI78" s="121"/>
      <c r="AJ78" s="121"/>
      <c r="AK78" s="121"/>
      <c r="AL78" s="121"/>
      <c r="AM78" s="121"/>
      <c r="AN78" s="121"/>
    </row>
    <row r="79" ht="17.25" hidden="1" customHeight="1">
      <c r="A79" s="121"/>
      <c r="B79" s="214"/>
      <c r="C79" s="214"/>
      <c r="D79" s="214"/>
      <c r="E79" s="214"/>
      <c r="F79" s="214"/>
      <c r="G79" s="214"/>
      <c r="H79" s="214"/>
      <c r="I79" s="214"/>
      <c r="J79" s="214"/>
      <c r="K79" s="214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  <c r="AC79" s="121"/>
      <c r="AD79" s="121"/>
      <c r="AE79" s="121"/>
      <c r="AF79" s="121"/>
      <c r="AG79" s="121"/>
      <c r="AH79" s="121"/>
      <c r="AI79" s="121"/>
      <c r="AJ79" s="121"/>
      <c r="AK79" s="121"/>
      <c r="AL79" s="121"/>
      <c r="AM79" s="121"/>
      <c r="AN79" s="121"/>
    </row>
    <row r="80" ht="17.25" hidden="1" customHeight="1">
      <c r="A80" s="121"/>
      <c r="B80" s="214"/>
      <c r="C80" s="214"/>
      <c r="D80" s="214"/>
      <c r="E80" s="214"/>
      <c r="F80" s="214"/>
      <c r="G80" s="214"/>
      <c r="H80" s="214"/>
      <c r="I80" s="214"/>
      <c r="J80" s="214"/>
      <c r="K80" s="214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  <c r="AA80" s="121"/>
      <c r="AB80" s="121"/>
      <c r="AC80" s="121"/>
      <c r="AD80" s="121"/>
      <c r="AE80" s="121"/>
      <c r="AF80" s="121"/>
      <c r="AG80" s="121"/>
      <c r="AH80" s="121"/>
      <c r="AI80" s="121"/>
      <c r="AJ80" s="121"/>
      <c r="AK80" s="121"/>
      <c r="AL80" s="121"/>
      <c r="AM80" s="121"/>
      <c r="AN80" s="121"/>
    </row>
    <row r="81" ht="17.25" hidden="1" customHeight="1">
      <c r="A81" s="121"/>
      <c r="B81" s="214"/>
      <c r="C81" s="214"/>
      <c r="D81" s="214"/>
      <c r="E81" s="214"/>
      <c r="F81" s="214"/>
      <c r="G81" s="214"/>
      <c r="H81" s="214"/>
      <c r="I81" s="214"/>
      <c r="J81" s="214"/>
      <c r="K81" s="214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1"/>
      <c r="AG81" s="121"/>
      <c r="AH81" s="121"/>
      <c r="AI81" s="121"/>
      <c r="AJ81" s="121"/>
      <c r="AK81" s="121"/>
      <c r="AL81" s="121"/>
      <c r="AM81" s="121"/>
      <c r="AN81" s="121"/>
    </row>
    <row r="82" ht="17.25" hidden="1" customHeight="1">
      <c r="A82" s="121"/>
      <c r="B82" s="214"/>
      <c r="C82" s="214"/>
      <c r="D82" s="214"/>
      <c r="E82" s="214"/>
      <c r="F82" s="214"/>
      <c r="G82" s="214"/>
      <c r="H82" s="214"/>
      <c r="I82" s="214"/>
      <c r="J82" s="214"/>
      <c r="K82" s="214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</row>
    <row r="83" ht="17.25" hidden="1" customHeight="1">
      <c r="A83" s="121"/>
      <c r="B83" s="214"/>
      <c r="C83" s="214"/>
      <c r="D83" s="214"/>
      <c r="E83" s="214"/>
      <c r="F83" s="214"/>
      <c r="G83" s="214"/>
      <c r="H83" s="214"/>
      <c r="I83" s="214"/>
      <c r="J83" s="214"/>
      <c r="K83" s="214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</row>
    <row r="84" ht="17.25" hidden="1" customHeight="1">
      <c r="A84" s="121"/>
      <c r="B84" s="214"/>
      <c r="C84" s="214"/>
      <c r="D84" s="214"/>
      <c r="E84" s="214"/>
      <c r="F84" s="214"/>
      <c r="G84" s="214"/>
      <c r="H84" s="214"/>
      <c r="I84" s="214"/>
      <c r="J84" s="214"/>
      <c r="K84" s="214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1"/>
      <c r="AE84" s="121"/>
      <c r="AF84" s="121"/>
      <c r="AG84" s="121"/>
      <c r="AH84" s="121"/>
      <c r="AI84" s="121"/>
      <c r="AJ84" s="121"/>
      <c r="AK84" s="121"/>
      <c r="AL84" s="121"/>
      <c r="AM84" s="121"/>
      <c r="AN84" s="121"/>
    </row>
    <row r="85" ht="17.25" hidden="1" customHeight="1">
      <c r="A85" s="121"/>
      <c r="B85" s="214"/>
      <c r="C85" s="214"/>
      <c r="D85" s="214"/>
      <c r="E85" s="214"/>
      <c r="F85" s="214"/>
      <c r="G85" s="214"/>
      <c r="H85" s="214"/>
      <c r="I85" s="214"/>
      <c r="J85" s="214"/>
      <c r="K85" s="214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1"/>
      <c r="AL85" s="121"/>
      <c r="AM85" s="121"/>
      <c r="AN85" s="121"/>
    </row>
    <row r="86" ht="17.25" hidden="1" customHeight="1">
      <c r="A86" s="121"/>
      <c r="B86" s="214"/>
      <c r="C86" s="214"/>
      <c r="D86" s="214"/>
      <c r="E86" s="214"/>
      <c r="F86" s="214"/>
      <c r="G86" s="214"/>
      <c r="H86" s="214"/>
      <c r="I86" s="214"/>
      <c r="J86" s="214"/>
      <c r="K86" s="214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</row>
    <row r="87" ht="17.25" hidden="1" customHeight="1">
      <c r="A87" s="121"/>
      <c r="B87" s="214"/>
      <c r="C87" s="214"/>
      <c r="D87" s="214"/>
      <c r="E87" s="214"/>
      <c r="F87" s="214"/>
      <c r="G87" s="214"/>
      <c r="H87" s="214"/>
      <c r="I87" s="214"/>
      <c r="J87" s="214"/>
      <c r="K87" s="214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</row>
    <row r="88" ht="17.25" hidden="1" customHeight="1">
      <c r="A88" s="121"/>
      <c r="B88" s="214"/>
      <c r="C88" s="214"/>
      <c r="D88" s="214"/>
      <c r="E88" s="214"/>
      <c r="F88" s="214"/>
      <c r="G88" s="214"/>
      <c r="H88" s="214"/>
      <c r="I88" s="214"/>
      <c r="J88" s="214"/>
      <c r="K88" s="214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</row>
    <row r="89" ht="17.25" hidden="1" customHeight="1">
      <c r="A89" s="121"/>
      <c r="B89" s="214"/>
      <c r="C89" s="214"/>
      <c r="D89" s="214"/>
      <c r="E89" s="214"/>
      <c r="F89" s="214"/>
      <c r="G89" s="214"/>
      <c r="H89" s="214"/>
      <c r="I89" s="214"/>
      <c r="J89" s="214"/>
      <c r="K89" s="214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</row>
    <row r="90" ht="17.25" hidden="1" customHeight="1">
      <c r="A90" s="121"/>
      <c r="B90" s="214"/>
      <c r="C90" s="214"/>
      <c r="D90" s="214"/>
      <c r="E90" s="214"/>
      <c r="F90" s="214"/>
      <c r="G90" s="214"/>
      <c r="H90" s="214"/>
      <c r="I90" s="214"/>
      <c r="J90" s="214"/>
      <c r="K90" s="214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</row>
    <row r="91" ht="17.25" hidden="1" customHeight="1">
      <c r="A91" s="121"/>
      <c r="B91" s="214"/>
      <c r="C91" s="214"/>
      <c r="D91" s="214"/>
      <c r="E91" s="214"/>
      <c r="F91" s="214"/>
      <c r="G91" s="214"/>
      <c r="H91" s="214"/>
      <c r="I91" s="214"/>
      <c r="J91" s="214"/>
      <c r="K91" s="214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</row>
    <row r="92" ht="17.25" hidden="1" customHeight="1">
      <c r="A92" s="121"/>
      <c r="B92" s="214"/>
      <c r="C92" s="214"/>
      <c r="D92" s="214"/>
      <c r="E92" s="214"/>
      <c r="F92" s="214"/>
      <c r="G92" s="214"/>
      <c r="H92" s="214"/>
      <c r="I92" s="214"/>
      <c r="J92" s="214"/>
      <c r="K92" s="214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</row>
    <row r="93" ht="17.25" hidden="1" customHeight="1">
      <c r="A93" s="121"/>
      <c r="B93" s="214"/>
      <c r="C93" s="214"/>
      <c r="D93" s="214"/>
      <c r="E93" s="214"/>
      <c r="F93" s="214"/>
      <c r="G93" s="214"/>
      <c r="H93" s="214"/>
      <c r="I93" s="214"/>
      <c r="J93" s="214"/>
      <c r="K93" s="214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</row>
    <row r="94" ht="17.25" hidden="1" customHeight="1">
      <c r="A94" s="121"/>
      <c r="B94" s="213">
        <f>COUNTIF($W$43:$W$47, true)</f>
        <v>0</v>
      </c>
      <c r="C94" s="214" t="str">
        <f t="array" ref="C94:H98">$Q$43:$V$47</f>
        <v/>
      </c>
      <c r="D94" s="214"/>
      <c r="E94" s="214"/>
      <c r="F94" s="214"/>
      <c r="G94" s="214"/>
      <c r="H94" s="214"/>
      <c r="I94" s="214"/>
      <c r="J94" s="214"/>
      <c r="K94" s="214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</row>
    <row r="95" ht="17.25" hidden="1" customHeight="1">
      <c r="A95" s="121"/>
      <c r="B95" s="214"/>
      <c r="C95" s="214"/>
      <c r="D95" s="214"/>
      <c r="E95" s="214"/>
      <c r="F95" s="214"/>
      <c r="G95" s="214"/>
      <c r="H95" s="214"/>
      <c r="I95" s="214"/>
      <c r="J95" s="214"/>
      <c r="K95" s="214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</row>
    <row r="96" ht="17.25" hidden="1" customHeight="1">
      <c r="A96" s="121"/>
      <c r="B96" s="214"/>
      <c r="C96" s="214"/>
      <c r="D96" s="214"/>
      <c r="E96" s="214"/>
      <c r="F96" s="214"/>
      <c r="G96" s="214"/>
      <c r="H96" s="214"/>
      <c r="I96" s="214"/>
      <c r="J96" s="214"/>
      <c r="K96" s="214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1"/>
      <c r="AH96" s="121"/>
      <c r="AI96" s="121"/>
      <c r="AJ96" s="121"/>
      <c r="AK96" s="121"/>
      <c r="AL96" s="121"/>
      <c r="AM96" s="121"/>
      <c r="AN96" s="121"/>
    </row>
    <row r="97" ht="17.25" hidden="1" customHeight="1">
      <c r="A97" s="121"/>
      <c r="B97" s="214"/>
      <c r="C97" s="214"/>
      <c r="D97" s="214"/>
      <c r="E97" s="214"/>
      <c r="F97" s="214"/>
      <c r="G97" s="214"/>
      <c r="H97" s="214"/>
      <c r="I97" s="214"/>
      <c r="J97" s="214"/>
      <c r="K97" s="214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  <c r="AA97" s="121"/>
      <c r="AB97" s="121"/>
      <c r="AC97" s="121"/>
      <c r="AD97" s="121"/>
      <c r="AE97" s="121"/>
      <c r="AF97" s="121"/>
      <c r="AG97" s="121"/>
      <c r="AH97" s="121"/>
      <c r="AI97" s="121"/>
      <c r="AJ97" s="121"/>
      <c r="AK97" s="121"/>
      <c r="AL97" s="121"/>
      <c r="AM97" s="121"/>
      <c r="AN97" s="121"/>
    </row>
    <row r="98" ht="17.25" hidden="1" customHeight="1">
      <c r="A98" s="121"/>
      <c r="B98" s="214"/>
      <c r="C98" s="214"/>
      <c r="D98" s="214"/>
      <c r="E98" s="214"/>
      <c r="F98" s="214"/>
      <c r="G98" s="214"/>
      <c r="H98" s="214"/>
      <c r="I98" s="214"/>
      <c r="J98" s="214"/>
      <c r="K98" s="214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1"/>
      <c r="AH98" s="121"/>
      <c r="AI98" s="121"/>
      <c r="AJ98" s="121"/>
      <c r="AK98" s="121"/>
      <c r="AL98" s="121"/>
      <c r="AM98" s="121"/>
      <c r="AN98" s="121"/>
    </row>
    <row r="99" ht="17.25" hidden="1" customHeight="1">
      <c r="A99" s="121"/>
      <c r="B99" s="214"/>
      <c r="C99" s="214"/>
      <c r="D99" s="214"/>
      <c r="E99" s="214"/>
      <c r="F99" s="214"/>
      <c r="G99" s="214"/>
      <c r="H99" s="214"/>
      <c r="I99" s="214"/>
      <c r="J99" s="214"/>
      <c r="K99" s="214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  <c r="AA99" s="121"/>
      <c r="AB99" s="121"/>
      <c r="AC99" s="121"/>
      <c r="AD99" s="121"/>
      <c r="AE99" s="121"/>
      <c r="AF99" s="121"/>
      <c r="AG99" s="121"/>
      <c r="AH99" s="121"/>
      <c r="AI99" s="121"/>
      <c r="AJ99" s="121"/>
      <c r="AK99" s="121"/>
      <c r="AL99" s="121"/>
      <c r="AM99" s="121"/>
      <c r="AN99" s="121"/>
    </row>
    <row r="100" ht="17.25" hidden="1" customHeight="1">
      <c r="A100" s="121"/>
      <c r="B100" s="214"/>
      <c r="C100" s="214"/>
      <c r="D100" s="214"/>
      <c r="E100" s="214"/>
      <c r="F100" s="214"/>
      <c r="G100" s="214"/>
      <c r="H100" s="214"/>
      <c r="I100" s="214"/>
      <c r="J100" s="214"/>
      <c r="K100" s="214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  <c r="AA100" s="121"/>
      <c r="AB100" s="121"/>
      <c r="AC100" s="121"/>
      <c r="AD100" s="121"/>
      <c r="AE100" s="121"/>
      <c r="AF100" s="121"/>
      <c r="AG100" s="121"/>
      <c r="AH100" s="121"/>
      <c r="AI100" s="121"/>
      <c r="AJ100" s="121"/>
      <c r="AK100" s="121"/>
      <c r="AL100" s="121"/>
      <c r="AM100" s="121"/>
      <c r="AN100" s="121"/>
    </row>
    <row r="101" ht="17.25" hidden="1" customHeight="1">
      <c r="A101" s="121"/>
      <c r="B101" s="214"/>
      <c r="C101" s="214"/>
      <c r="D101" s="214"/>
      <c r="E101" s="214"/>
      <c r="F101" s="214"/>
      <c r="G101" s="214"/>
      <c r="H101" s="214"/>
      <c r="I101" s="214"/>
      <c r="J101" s="214"/>
      <c r="K101" s="214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  <c r="AA101" s="121"/>
      <c r="AB101" s="121"/>
      <c r="AC101" s="121"/>
      <c r="AD101" s="121"/>
      <c r="AE101" s="121"/>
      <c r="AF101" s="121"/>
      <c r="AG101" s="121"/>
      <c r="AH101" s="121"/>
      <c r="AI101" s="121"/>
      <c r="AJ101" s="121"/>
      <c r="AK101" s="121"/>
      <c r="AL101" s="121"/>
      <c r="AM101" s="121"/>
      <c r="AN101" s="121"/>
    </row>
    <row r="102" ht="17.25" hidden="1" customHeight="1">
      <c r="A102" s="121"/>
      <c r="B102" s="214"/>
      <c r="C102" s="214"/>
      <c r="D102" s="214"/>
      <c r="E102" s="214"/>
      <c r="F102" s="214"/>
      <c r="G102" s="214"/>
      <c r="H102" s="214"/>
      <c r="I102" s="214"/>
      <c r="J102" s="214"/>
      <c r="K102" s="214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  <c r="AA102" s="121"/>
      <c r="AB102" s="121"/>
      <c r="AC102" s="121"/>
      <c r="AD102" s="121"/>
      <c r="AE102" s="121"/>
      <c r="AF102" s="121"/>
      <c r="AG102" s="121"/>
      <c r="AH102" s="121"/>
      <c r="AI102" s="121"/>
      <c r="AJ102" s="121"/>
      <c r="AK102" s="121"/>
      <c r="AL102" s="121"/>
      <c r="AM102" s="121"/>
      <c r="AN102" s="121"/>
    </row>
    <row r="103" ht="17.25" hidden="1" customHeight="1">
      <c r="A103" s="121"/>
      <c r="B103" s="214"/>
      <c r="C103" s="214"/>
      <c r="D103" s="214"/>
      <c r="E103" s="214"/>
      <c r="F103" s="214"/>
      <c r="G103" s="214"/>
      <c r="H103" s="214"/>
      <c r="I103" s="214"/>
      <c r="J103" s="214"/>
      <c r="K103" s="214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  <c r="AA103" s="121"/>
      <c r="AB103" s="121"/>
      <c r="AC103" s="121"/>
      <c r="AD103" s="121"/>
      <c r="AE103" s="121"/>
      <c r="AF103" s="121"/>
      <c r="AG103" s="121"/>
      <c r="AH103" s="121"/>
      <c r="AI103" s="121"/>
      <c r="AJ103" s="121"/>
      <c r="AK103" s="121"/>
      <c r="AL103" s="121"/>
      <c r="AM103" s="121"/>
      <c r="AN103" s="121"/>
    </row>
    <row r="104" ht="17.25" hidden="1" customHeight="1">
      <c r="A104" s="121"/>
      <c r="B104" s="214"/>
      <c r="C104" s="214"/>
      <c r="D104" s="214"/>
      <c r="E104" s="214"/>
      <c r="F104" s="214"/>
      <c r="G104" s="214"/>
      <c r="H104" s="214"/>
      <c r="I104" s="214"/>
      <c r="J104" s="214"/>
      <c r="K104" s="214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  <c r="AA104" s="121"/>
      <c r="AB104" s="121"/>
      <c r="AC104" s="121"/>
      <c r="AD104" s="121"/>
      <c r="AE104" s="121"/>
      <c r="AF104" s="121"/>
      <c r="AG104" s="121"/>
      <c r="AH104" s="121"/>
      <c r="AI104" s="121"/>
      <c r="AJ104" s="121"/>
      <c r="AK104" s="121"/>
      <c r="AL104" s="121"/>
      <c r="AM104" s="121"/>
      <c r="AN104" s="121"/>
    </row>
    <row r="105" ht="17.25" hidden="1" customHeight="1">
      <c r="A105" s="121"/>
      <c r="B105" s="214"/>
      <c r="C105" s="214"/>
      <c r="D105" s="214"/>
      <c r="E105" s="214"/>
      <c r="F105" s="214"/>
      <c r="G105" s="214"/>
      <c r="H105" s="214"/>
      <c r="I105" s="214"/>
      <c r="J105" s="214"/>
      <c r="K105" s="214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  <c r="AA105" s="121"/>
      <c r="AB105" s="121"/>
      <c r="AC105" s="121"/>
      <c r="AD105" s="121"/>
      <c r="AE105" s="121"/>
      <c r="AF105" s="121"/>
      <c r="AG105" s="121"/>
      <c r="AH105" s="121"/>
      <c r="AI105" s="121"/>
      <c r="AJ105" s="121"/>
      <c r="AK105" s="121"/>
      <c r="AL105" s="121"/>
      <c r="AM105" s="121"/>
      <c r="AN105" s="121"/>
    </row>
    <row r="106" ht="17.25" hidden="1" customHeight="1">
      <c r="A106" s="121"/>
      <c r="B106" s="214"/>
      <c r="C106" s="214"/>
      <c r="D106" s="214"/>
      <c r="E106" s="214"/>
      <c r="F106" s="214"/>
      <c r="G106" s="214"/>
      <c r="H106" s="214"/>
      <c r="I106" s="214"/>
      <c r="J106" s="214"/>
      <c r="K106" s="214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  <c r="AA106" s="121"/>
      <c r="AB106" s="121"/>
      <c r="AC106" s="121"/>
      <c r="AD106" s="121"/>
      <c r="AE106" s="121"/>
      <c r="AF106" s="121"/>
      <c r="AG106" s="121"/>
      <c r="AH106" s="121"/>
      <c r="AI106" s="121"/>
      <c r="AJ106" s="121"/>
      <c r="AK106" s="121"/>
      <c r="AL106" s="121"/>
      <c r="AM106" s="121"/>
      <c r="AN106" s="121"/>
    </row>
    <row r="107" ht="17.25" hidden="1" customHeight="1">
      <c r="A107" s="121"/>
      <c r="B107" s="214"/>
      <c r="C107" s="214"/>
      <c r="D107" s="214"/>
      <c r="E107" s="214"/>
      <c r="F107" s="214"/>
      <c r="G107" s="214"/>
      <c r="H107" s="214"/>
      <c r="I107" s="214"/>
      <c r="J107" s="214"/>
      <c r="K107" s="214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  <c r="AA107" s="121"/>
      <c r="AB107" s="121"/>
      <c r="AC107" s="121"/>
      <c r="AD107" s="121"/>
      <c r="AE107" s="121"/>
      <c r="AF107" s="121"/>
      <c r="AG107" s="121"/>
      <c r="AH107" s="121"/>
      <c r="AI107" s="121"/>
      <c r="AJ107" s="121"/>
      <c r="AK107" s="121"/>
      <c r="AL107" s="121"/>
      <c r="AM107" s="121"/>
      <c r="AN107" s="121"/>
    </row>
    <row r="108" ht="17.25" hidden="1" customHeight="1">
      <c r="A108" s="121"/>
      <c r="B108" s="214"/>
      <c r="C108" s="214"/>
      <c r="D108" s="214"/>
      <c r="E108" s="214"/>
      <c r="F108" s="214"/>
      <c r="G108" s="214"/>
      <c r="H108" s="214"/>
      <c r="I108" s="214"/>
      <c r="J108" s="214"/>
      <c r="K108" s="214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  <c r="AA108" s="121"/>
      <c r="AB108" s="121"/>
      <c r="AC108" s="121"/>
      <c r="AD108" s="121"/>
      <c r="AE108" s="121"/>
      <c r="AF108" s="121"/>
      <c r="AG108" s="121"/>
      <c r="AH108" s="121"/>
      <c r="AI108" s="121"/>
      <c r="AJ108" s="121"/>
      <c r="AK108" s="121"/>
      <c r="AL108" s="121"/>
      <c r="AM108" s="121"/>
      <c r="AN108" s="121"/>
    </row>
    <row r="109" ht="17.25" hidden="1" customHeight="1">
      <c r="A109" s="121"/>
      <c r="B109" s="214"/>
      <c r="C109" s="214"/>
      <c r="D109" s="214"/>
      <c r="E109" s="214"/>
      <c r="F109" s="214"/>
      <c r="G109" s="214"/>
      <c r="H109" s="214"/>
      <c r="I109" s="214"/>
      <c r="J109" s="214"/>
      <c r="K109" s="214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  <c r="AA109" s="121"/>
      <c r="AB109" s="121"/>
      <c r="AC109" s="121"/>
      <c r="AD109" s="121"/>
      <c r="AE109" s="121"/>
      <c r="AF109" s="121"/>
      <c r="AG109" s="121"/>
      <c r="AH109" s="121"/>
      <c r="AI109" s="121"/>
      <c r="AJ109" s="121"/>
      <c r="AK109" s="121"/>
      <c r="AL109" s="121"/>
      <c r="AM109" s="121"/>
      <c r="AN109" s="121"/>
    </row>
    <row r="110" ht="17.25" hidden="1" customHeight="1">
      <c r="A110" s="121"/>
      <c r="B110" s="213">
        <f>COUNTIF($AD$43:$AD$47, true)</f>
        <v>0</v>
      </c>
      <c r="C110" s="214" t="str">
        <f t="array" ref="C110:H114">$X$43:$AC$47</f>
        <v/>
      </c>
      <c r="D110" s="214"/>
      <c r="E110" s="214"/>
      <c r="F110" s="214"/>
      <c r="G110" s="214"/>
      <c r="H110" s="214"/>
      <c r="I110" s="214"/>
      <c r="J110" s="214"/>
      <c r="K110" s="214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121"/>
      <c r="AK110" s="121"/>
      <c r="AL110" s="121"/>
      <c r="AM110" s="121"/>
      <c r="AN110" s="121"/>
    </row>
    <row r="111" ht="17.25" hidden="1" customHeight="1">
      <c r="A111" s="121"/>
      <c r="B111" s="214"/>
      <c r="C111" s="214"/>
      <c r="D111" s="214"/>
      <c r="E111" s="214"/>
      <c r="F111" s="214"/>
      <c r="G111" s="214"/>
      <c r="H111" s="214"/>
      <c r="I111" s="214"/>
      <c r="J111" s="214"/>
      <c r="K111" s="214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  <c r="AA111" s="121"/>
      <c r="AB111" s="121"/>
      <c r="AC111" s="121"/>
      <c r="AD111" s="121"/>
      <c r="AE111" s="121"/>
      <c r="AF111" s="121"/>
      <c r="AG111" s="121"/>
      <c r="AH111" s="121"/>
      <c r="AI111" s="121"/>
      <c r="AJ111" s="121"/>
      <c r="AK111" s="121"/>
      <c r="AL111" s="121"/>
      <c r="AM111" s="121"/>
      <c r="AN111" s="121"/>
    </row>
    <row r="112" ht="17.25" hidden="1" customHeight="1">
      <c r="A112" s="121"/>
      <c r="B112" s="214"/>
      <c r="C112" s="214"/>
      <c r="D112" s="214"/>
      <c r="E112" s="214"/>
      <c r="F112" s="214"/>
      <c r="G112" s="214"/>
      <c r="H112" s="214"/>
      <c r="I112" s="214"/>
      <c r="J112" s="214"/>
      <c r="K112" s="214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  <c r="AA112" s="121"/>
      <c r="AB112" s="121"/>
      <c r="AC112" s="121"/>
      <c r="AD112" s="121"/>
      <c r="AE112" s="121"/>
      <c r="AF112" s="121"/>
      <c r="AG112" s="121"/>
      <c r="AH112" s="121"/>
      <c r="AI112" s="121"/>
      <c r="AJ112" s="121"/>
      <c r="AK112" s="121"/>
      <c r="AL112" s="121"/>
      <c r="AM112" s="121"/>
      <c r="AN112" s="121"/>
    </row>
    <row r="113" ht="17.25" hidden="1" customHeight="1">
      <c r="A113" s="121"/>
      <c r="B113" s="214"/>
      <c r="C113" s="214"/>
      <c r="D113" s="214"/>
      <c r="E113" s="214"/>
      <c r="F113" s="214"/>
      <c r="G113" s="214"/>
      <c r="H113" s="214"/>
      <c r="I113" s="214"/>
      <c r="J113" s="214"/>
      <c r="K113" s="214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  <c r="AA113" s="121"/>
      <c r="AB113" s="121"/>
      <c r="AC113" s="121"/>
      <c r="AD113" s="121"/>
      <c r="AE113" s="121"/>
      <c r="AF113" s="121"/>
      <c r="AG113" s="121"/>
      <c r="AH113" s="121"/>
      <c r="AI113" s="121"/>
      <c r="AJ113" s="121"/>
      <c r="AK113" s="121"/>
      <c r="AL113" s="121"/>
      <c r="AM113" s="121"/>
      <c r="AN113" s="121"/>
    </row>
    <row r="114" ht="17.25" hidden="1" customHeight="1">
      <c r="A114" s="121"/>
      <c r="B114" s="214"/>
      <c r="C114" s="214"/>
      <c r="D114" s="214"/>
      <c r="E114" s="214"/>
      <c r="F114" s="214"/>
      <c r="G114" s="214"/>
      <c r="H114" s="214"/>
      <c r="I114" s="214"/>
      <c r="J114" s="214"/>
      <c r="K114" s="214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  <c r="AA114" s="121"/>
      <c r="AB114" s="121"/>
      <c r="AC114" s="121"/>
      <c r="AD114" s="121"/>
      <c r="AE114" s="121"/>
      <c r="AF114" s="121"/>
      <c r="AG114" s="121"/>
      <c r="AH114" s="121"/>
      <c r="AI114" s="121"/>
      <c r="AJ114" s="121"/>
      <c r="AK114" s="121"/>
      <c r="AL114" s="121"/>
      <c r="AM114" s="121"/>
      <c r="AN114" s="121"/>
    </row>
    <row r="115" ht="17.25" hidden="1" customHeight="1">
      <c r="A115" s="121"/>
      <c r="B115" s="214"/>
      <c r="C115" s="214"/>
      <c r="D115" s="214"/>
      <c r="E115" s="214"/>
      <c r="F115" s="214"/>
      <c r="G115" s="214"/>
      <c r="H115" s="214"/>
      <c r="I115" s="214"/>
      <c r="J115" s="214"/>
      <c r="K115" s="214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  <c r="AA115" s="121"/>
      <c r="AB115" s="121"/>
      <c r="AC115" s="121"/>
      <c r="AD115" s="121"/>
      <c r="AE115" s="121"/>
      <c r="AF115" s="121"/>
      <c r="AG115" s="121"/>
      <c r="AH115" s="121"/>
      <c r="AI115" s="121"/>
      <c r="AJ115" s="121"/>
      <c r="AK115" s="121"/>
      <c r="AL115" s="121"/>
      <c r="AM115" s="121"/>
      <c r="AN115" s="121"/>
    </row>
    <row r="116" ht="17.25" hidden="1" customHeight="1">
      <c r="A116" s="121"/>
      <c r="B116" s="214"/>
      <c r="C116" s="214"/>
      <c r="D116" s="214"/>
      <c r="E116" s="214"/>
      <c r="F116" s="214"/>
      <c r="G116" s="214"/>
      <c r="H116" s="214"/>
      <c r="I116" s="214"/>
      <c r="J116" s="214"/>
      <c r="K116" s="214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  <c r="AA116" s="121"/>
      <c r="AB116" s="121"/>
      <c r="AC116" s="121"/>
      <c r="AD116" s="121"/>
      <c r="AE116" s="121"/>
      <c r="AF116" s="121"/>
      <c r="AG116" s="121"/>
      <c r="AH116" s="121"/>
      <c r="AI116" s="121"/>
      <c r="AJ116" s="121"/>
      <c r="AK116" s="121"/>
      <c r="AL116" s="121"/>
      <c r="AM116" s="121"/>
      <c r="AN116" s="121"/>
    </row>
    <row r="117" ht="17.25" hidden="1" customHeight="1">
      <c r="A117" s="121"/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121"/>
      <c r="AF117" s="121"/>
      <c r="AG117" s="121"/>
      <c r="AH117" s="121"/>
      <c r="AI117" s="121"/>
      <c r="AJ117" s="121"/>
      <c r="AK117" s="121"/>
      <c r="AL117" s="121"/>
      <c r="AM117" s="121"/>
      <c r="AN117" s="121"/>
    </row>
    <row r="118" ht="17.25" hidden="1" customHeight="1">
      <c r="A118" s="121"/>
      <c r="B118" s="214"/>
      <c r="C118" s="214"/>
      <c r="D118" s="214"/>
      <c r="E118" s="214"/>
      <c r="F118" s="214"/>
      <c r="G118" s="214"/>
      <c r="H118" s="214"/>
      <c r="I118" s="214"/>
      <c r="J118" s="214"/>
      <c r="K118" s="214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  <c r="AA118" s="121"/>
      <c r="AB118" s="121"/>
      <c r="AC118" s="121"/>
      <c r="AD118" s="121"/>
      <c r="AE118" s="121"/>
      <c r="AF118" s="121"/>
      <c r="AG118" s="121"/>
      <c r="AH118" s="121"/>
      <c r="AI118" s="121"/>
      <c r="AJ118" s="121"/>
      <c r="AK118" s="121"/>
      <c r="AL118" s="121"/>
      <c r="AM118" s="121"/>
      <c r="AN118" s="121"/>
    </row>
    <row r="119" ht="17.25" hidden="1" customHeight="1">
      <c r="A119" s="121"/>
      <c r="B119" s="214"/>
      <c r="C119" s="214"/>
      <c r="D119" s="214"/>
      <c r="E119" s="214"/>
      <c r="F119" s="214"/>
      <c r="G119" s="214"/>
      <c r="H119" s="214"/>
      <c r="I119" s="214"/>
      <c r="J119" s="214"/>
      <c r="K119" s="214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  <c r="AA119" s="121"/>
      <c r="AB119" s="121"/>
      <c r="AC119" s="121"/>
      <c r="AD119" s="121"/>
      <c r="AE119" s="121"/>
      <c r="AF119" s="121"/>
      <c r="AG119" s="121"/>
      <c r="AH119" s="121"/>
      <c r="AI119" s="121"/>
      <c r="AJ119" s="121"/>
      <c r="AK119" s="121"/>
      <c r="AL119" s="121"/>
      <c r="AM119" s="121"/>
      <c r="AN119" s="121"/>
    </row>
    <row r="120" ht="17.25" hidden="1" customHeight="1">
      <c r="A120" s="121"/>
      <c r="B120" s="214"/>
      <c r="C120" s="214"/>
      <c r="D120" s="214"/>
      <c r="E120" s="214"/>
      <c r="F120" s="214"/>
      <c r="G120" s="214"/>
      <c r="H120" s="214"/>
      <c r="I120" s="214"/>
      <c r="J120" s="214"/>
      <c r="K120" s="214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</row>
    <row r="121" ht="17.25" hidden="1" customHeight="1">
      <c r="A121" s="121"/>
      <c r="B121" s="214"/>
      <c r="C121" s="214"/>
      <c r="D121" s="214"/>
      <c r="E121" s="214"/>
      <c r="F121" s="214"/>
      <c r="G121" s="214"/>
      <c r="H121" s="214"/>
      <c r="I121" s="214"/>
      <c r="J121" s="214"/>
      <c r="K121" s="214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</row>
    <row r="122" ht="17.25" hidden="1" customHeight="1">
      <c r="A122" s="121"/>
      <c r="B122" s="214"/>
      <c r="C122" s="214"/>
      <c r="D122" s="214"/>
      <c r="E122" s="214"/>
      <c r="F122" s="214"/>
      <c r="G122" s="214"/>
      <c r="H122" s="214"/>
      <c r="I122" s="214"/>
      <c r="J122" s="214"/>
      <c r="K122" s="214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  <c r="AA122" s="121"/>
      <c r="AB122" s="121"/>
      <c r="AC122" s="121"/>
      <c r="AD122" s="121"/>
      <c r="AE122" s="121"/>
      <c r="AF122" s="121"/>
      <c r="AG122" s="121"/>
      <c r="AH122" s="121"/>
      <c r="AI122" s="121"/>
      <c r="AJ122" s="121"/>
      <c r="AK122" s="121"/>
      <c r="AL122" s="121"/>
      <c r="AM122" s="121"/>
      <c r="AN122" s="121"/>
    </row>
    <row r="123" ht="17.25" hidden="1" customHeight="1">
      <c r="A123" s="121"/>
      <c r="B123" s="214"/>
      <c r="C123" s="214"/>
      <c r="D123" s="214"/>
      <c r="E123" s="214"/>
      <c r="F123" s="214"/>
      <c r="G123" s="214"/>
      <c r="H123" s="214"/>
      <c r="I123" s="214"/>
      <c r="J123" s="214"/>
      <c r="K123" s="214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1"/>
      <c r="AL123" s="121"/>
      <c r="AM123" s="121"/>
      <c r="AN123" s="121"/>
    </row>
    <row r="124" ht="17.25" hidden="1" customHeight="1">
      <c r="A124" s="121"/>
      <c r="B124" s="214"/>
      <c r="C124" s="214"/>
      <c r="D124" s="214"/>
      <c r="E124" s="214"/>
      <c r="F124" s="214"/>
      <c r="G124" s="214"/>
      <c r="H124" s="214"/>
      <c r="I124" s="214"/>
      <c r="J124" s="214"/>
      <c r="K124" s="214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</row>
    <row r="125" ht="17.25" hidden="1" customHeight="1">
      <c r="A125" s="121"/>
      <c r="B125" s="214"/>
      <c r="C125" s="214"/>
      <c r="D125" s="214"/>
      <c r="E125" s="214"/>
      <c r="F125" s="214"/>
      <c r="G125" s="214"/>
      <c r="H125" s="214"/>
      <c r="I125" s="214"/>
      <c r="J125" s="214"/>
      <c r="K125" s="214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</row>
    <row r="126" ht="17.25" hidden="1" customHeight="1">
      <c r="A126" s="121"/>
      <c r="B126" s="213">
        <f>COUNTIF($P$55:$P$59, true)</f>
        <v>0</v>
      </c>
      <c r="C126" s="214" t="str">
        <f t="array" ref="C126:O130">$C$55:$O$59</f>
        <v/>
      </c>
      <c r="D126" s="214"/>
      <c r="E126" s="214"/>
      <c r="F126" s="214"/>
      <c r="G126" s="214"/>
      <c r="H126" s="214"/>
      <c r="I126" s="214"/>
      <c r="J126" s="214"/>
      <c r="K126" s="214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</row>
    <row r="127" ht="17.25" hidden="1" customHeight="1">
      <c r="A127" s="121"/>
      <c r="B127" s="214"/>
      <c r="C127" s="214"/>
      <c r="D127" s="214"/>
      <c r="E127" s="214"/>
      <c r="F127" s="214"/>
      <c r="G127" s="214"/>
      <c r="H127" s="214"/>
      <c r="I127" s="214"/>
      <c r="J127" s="214"/>
      <c r="K127" s="214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</row>
    <row r="128" ht="17.25" hidden="1" customHeight="1">
      <c r="A128" s="121"/>
      <c r="B128" s="214"/>
      <c r="C128" s="214"/>
      <c r="D128" s="214"/>
      <c r="E128" s="214"/>
      <c r="F128" s="214"/>
      <c r="G128" s="214"/>
      <c r="H128" s="214"/>
      <c r="I128" s="214"/>
      <c r="J128" s="214"/>
      <c r="K128" s="214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</row>
    <row r="129" ht="17.25" hidden="1" customHeight="1">
      <c r="A129" s="121"/>
      <c r="B129" s="214"/>
      <c r="C129" s="214"/>
      <c r="D129" s="214"/>
      <c r="E129" s="214"/>
      <c r="F129" s="214"/>
      <c r="G129" s="214"/>
      <c r="H129" s="214"/>
      <c r="I129" s="214"/>
      <c r="J129" s="214"/>
      <c r="K129" s="214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</row>
    <row r="130" ht="17.25" hidden="1" customHeight="1">
      <c r="A130" s="121"/>
      <c r="B130" s="214"/>
      <c r="C130" s="214"/>
      <c r="D130" s="214"/>
      <c r="E130" s="214"/>
      <c r="F130" s="214"/>
      <c r="G130" s="214"/>
      <c r="H130" s="214"/>
      <c r="I130" s="214"/>
      <c r="J130" s="214"/>
      <c r="K130" s="214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</row>
    <row r="131" ht="17.25" hidden="1" customHeight="1">
      <c r="A131" s="121"/>
      <c r="B131" s="214"/>
      <c r="C131" s="214"/>
      <c r="D131" s="214"/>
      <c r="E131" s="214"/>
      <c r="F131" s="214"/>
      <c r="G131" s="214"/>
      <c r="H131" s="214"/>
      <c r="I131" s="214"/>
      <c r="J131" s="214"/>
      <c r="K131" s="214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</row>
    <row r="132" ht="17.25" hidden="1" customHeight="1">
      <c r="A132" s="121"/>
      <c r="B132" s="214"/>
      <c r="C132" s="214"/>
      <c r="D132" s="214"/>
      <c r="E132" s="214"/>
      <c r="F132" s="214"/>
      <c r="G132" s="214"/>
      <c r="H132" s="214"/>
      <c r="I132" s="214"/>
      <c r="J132" s="214"/>
      <c r="K132" s="214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</row>
    <row r="133" ht="17.25" hidden="1" customHeight="1">
      <c r="A133" s="121"/>
      <c r="B133" s="214"/>
      <c r="C133" s="214"/>
      <c r="D133" s="214"/>
      <c r="E133" s="214"/>
      <c r="F133" s="214"/>
      <c r="G133" s="214"/>
      <c r="H133" s="214"/>
      <c r="I133" s="214"/>
      <c r="J133" s="214"/>
      <c r="K133" s="214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</row>
    <row r="134" ht="17.25" hidden="1" customHeight="1">
      <c r="A134" s="121"/>
      <c r="B134" s="214"/>
      <c r="C134" s="214"/>
      <c r="D134" s="214"/>
      <c r="E134" s="214"/>
      <c r="F134" s="214"/>
      <c r="G134" s="214"/>
      <c r="H134" s="214"/>
      <c r="I134" s="214"/>
      <c r="J134" s="214"/>
      <c r="K134" s="214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  <c r="AA134" s="121"/>
      <c r="AB134" s="121"/>
      <c r="AC134" s="121"/>
      <c r="AD134" s="121"/>
      <c r="AE134" s="121"/>
      <c r="AF134" s="121"/>
      <c r="AG134" s="121"/>
      <c r="AH134" s="121"/>
      <c r="AI134" s="121"/>
      <c r="AJ134" s="121"/>
      <c r="AK134" s="121"/>
      <c r="AL134" s="121"/>
      <c r="AM134" s="121"/>
      <c r="AN134" s="121"/>
    </row>
    <row r="135" ht="17.25" hidden="1" customHeight="1">
      <c r="A135" s="121"/>
      <c r="B135" s="214"/>
      <c r="C135" s="214"/>
      <c r="D135" s="214"/>
      <c r="E135" s="214"/>
      <c r="F135" s="214"/>
      <c r="G135" s="214"/>
      <c r="H135" s="214"/>
      <c r="I135" s="214"/>
      <c r="J135" s="214"/>
      <c r="K135" s="214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  <c r="AA135" s="121"/>
      <c r="AB135" s="121"/>
      <c r="AC135" s="121"/>
      <c r="AD135" s="121"/>
      <c r="AE135" s="121"/>
      <c r="AF135" s="121"/>
      <c r="AG135" s="121"/>
      <c r="AH135" s="121"/>
      <c r="AI135" s="121"/>
      <c r="AJ135" s="121"/>
      <c r="AK135" s="121"/>
      <c r="AL135" s="121"/>
      <c r="AM135" s="121"/>
      <c r="AN135" s="121"/>
    </row>
    <row r="136" ht="17.25" hidden="1" customHeight="1">
      <c r="A136" s="121"/>
      <c r="B136" s="214"/>
      <c r="C136" s="214"/>
      <c r="D136" s="214"/>
      <c r="E136" s="214"/>
      <c r="F136" s="214"/>
      <c r="G136" s="214"/>
      <c r="H136" s="214"/>
      <c r="I136" s="214"/>
      <c r="J136" s="214"/>
      <c r="K136" s="214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  <c r="AA136" s="121"/>
      <c r="AB136" s="121"/>
      <c r="AC136" s="121"/>
      <c r="AD136" s="121"/>
      <c r="AE136" s="121"/>
      <c r="AF136" s="121"/>
      <c r="AG136" s="121"/>
      <c r="AH136" s="121"/>
      <c r="AI136" s="121"/>
      <c r="AJ136" s="121"/>
      <c r="AK136" s="121"/>
      <c r="AL136" s="121"/>
      <c r="AM136" s="121"/>
      <c r="AN136" s="121"/>
    </row>
    <row r="137" ht="17.25" hidden="1" customHeight="1">
      <c r="A137" s="121"/>
      <c r="B137" s="214"/>
      <c r="C137" s="214"/>
      <c r="D137" s="214"/>
      <c r="E137" s="214"/>
      <c r="F137" s="214"/>
      <c r="G137" s="214"/>
      <c r="H137" s="214"/>
      <c r="I137" s="214"/>
      <c r="J137" s="214"/>
      <c r="K137" s="214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  <c r="AA137" s="121"/>
      <c r="AB137" s="121"/>
      <c r="AC137" s="121"/>
      <c r="AD137" s="121"/>
      <c r="AE137" s="121"/>
      <c r="AF137" s="121"/>
      <c r="AG137" s="121"/>
      <c r="AH137" s="121"/>
      <c r="AI137" s="121"/>
      <c r="AJ137" s="121"/>
      <c r="AK137" s="121"/>
      <c r="AL137" s="121"/>
      <c r="AM137" s="121"/>
      <c r="AN137" s="121"/>
    </row>
    <row r="138" ht="17.25" hidden="1" customHeight="1">
      <c r="A138" s="121"/>
      <c r="B138" s="214"/>
      <c r="C138" s="214"/>
      <c r="D138" s="214"/>
      <c r="E138" s="214"/>
      <c r="F138" s="214"/>
      <c r="G138" s="214"/>
      <c r="H138" s="214"/>
      <c r="I138" s="214"/>
      <c r="J138" s="214"/>
      <c r="K138" s="214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21"/>
      <c r="AH138" s="121"/>
      <c r="AI138" s="121"/>
      <c r="AJ138" s="121"/>
      <c r="AK138" s="121"/>
      <c r="AL138" s="121"/>
      <c r="AM138" s="121"/>
      <c r="AN138" s="121"/>
    </row>
    <row r="139" ht="17.25" hidden="1" customHeight="1">
      <c r="A139" s="121"/>
      <c r="B139" s="214"/>
      <c r="C139" s="214"/>
      <c r="D139" s="214"/>
      <c r="E139" s="214"/>
      <c r="F139" s="214"/>
      <c r="G139" s="214"/>
      <c r="H139" s="214"/>
      <c r="I139" s="214"/>
      <c r="J139" s="214"/>
      <c r="K139" s="214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  <c r="AA139" s="121"/>
      <c r="AB139" s="121"/>
      <c r="AC139" s="121"/>
      <c r="AD139" s="121"/>
      <c r="AE139" s="121"/>
      <c r="AF139" s="121"/>
      <c r="AG139" s="121"/>
      <c r="AH139" s="121"/>
      <c r="AI139" s="121"/>
      <c r="AJ139" s="121"/>
      <c r="AK139" s="121"/>
      <c r="AL139" s="121"/>
      <c r="AM139" s="121"/>
      <c r="AN139" s="121"/>
    </row>
    <row r="140" ht="17.25" hidden="1" customHeight="1">
      <c r="A140" s="121"/>
      <c r="B140" s="214"/>
      <c r="C140" s="214"/>
      <c r="D140" s="214"/>
      <c r="E140" s="214"/>
      <c r="F140" s="214"/>
      <c r="G140" s="214"/>
      <c r="H140" s="214"/>
      <c r="I140" s="214"/>
      <c r="J140" s="214"/>
      <c r="K140" s="214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  <c r="AA140" s="121"/>
      <c r="AB140" s="121"/>
      <c r="AC140" s="121"/>
      <c r="AD140" s="121"/>
      <c r="AE140" s="121"/>
      <c r="AF140" s="121"/>
      <c r="AG140" s="121"/>
      <c r="AH140" s="121"/>
      <c r="AI140" s="121"/>
      <c r="AJ140" s="121"/>
      <c r="AK140" s="121"/>
      <c r="AL140" s="121"/>
      <c r="AM140" s="121"/>
      <c r="AN140" s="121"/>
    </row>
  </sheetData>
  <mergeCells count="86">
    <mergeCell ref="AI38:AM38"/>
    <mergeCell ref="AI39:AM39"/>
    <mergeCell ref="B42:B43"/>
    <mergeCell ref="C42:H42"/>
    <mergeCell ref="Q42:V42"/>
    <mergeCell ref="C43:H43"/>
    <mergeCell ref="Q43:V43"/>
    <mergeCell ref="J42:O42"/>
    <mergeCell ref="J43:O43"/>
    <mergeCell ref="C44:H44"/>
    <mergeCell ref="J44:O44"/>
    <mergeCell ref="Q44:V44"/>
    <mergeCell ref="J45:O45"/>
    <mergeCell ref="Q45:V45"/>
    <mergeCell ref="C47:H47"/>
    <mergeCell ref="C49:I49"/>
    <mergeCell ref="B49:B51"/>
    <mergeCell ref="C51:I51"/>
    <mergeCell ref="C52:H52"/>
    <mergeCell ref="B54:B55"/>
    <mergeCell ref="C45:H45"/>
    <mergeCell ref="C46:H46"/>
    <mergeCell ref="J46:O46"/>
    <mergeCell ref="Q46:V46"/>
    <mergeCell ref="J47:O47"/>
    <mergeCell ref="Q47:V47"/>
    <mergeCell ref="Q50:W50"/>
    <mergeCell ref="C55:O55"/>
    <mergeCell ref="C56:O56"/>
    <mergeCell ref="C57:O57"/>
    <mergeCell ref="C58:O58"/>
    <mergeCell ref="C59:O59"/>
    <mergeCell ref="C50:I50"/>
    <mergeCell ref="J50:P50"/>
    <mergeCell ref="J51:P51"/>
    <mergeCell ref="Q51:W51"/>
    <mergeCell ref="J52:O52"/>
    <mergeCell ref="Q52:V52"/>
    <mergeCell ref="C54:P54"/>
    <mergeCell ref="O3:T3"/>
    <mergeCell ref="O4:T4"/>
    <mergeCell ref="B7:B8"/>
    <mergeCell ref="C7:I7"/>
    <mergeCell ref="J7:P7"/>
    <mergeCell ref="Q7:W7"/>
    <mergeCell ref="B2:H2"/>
    <mergeCell ref="AG2:AM5"/>
    <mergeCell ref="B3:H4"/>
    <mergeCell ref="I3:M3"/>
    <mergeCell ref="V3:Z3"/>
    <mergeCell ref="I4:M4"/>
    <mergeCell ref="V4:Z4"/>
    <mergeCell ref="B5:H5"/>
    <mergeCell ref="AB3:AF3"/>
    <mergeCell ref="AB4:AF4"/>
    <mergeCell ref="X7:AD7"/>
    <mergeCell ref="AE7:AG7"/>
    <mergeCell ref="AI7:AJ8"/>
    <mergeCell ref="AK7:AM8"/>
    <mergeCell ref="AK10:AM10"/>
    <mergeCell ref="AK11:AM11"/>
    <mergeCell ref="AK12:AM12"/>
    <mergeCell ref="AK13:AM13"/>
    <mergeCell ref="AK14:AM14"/>
    <mergeCell ref="AK15:AM15"/>
    <mergeCell ref="AK16:AM16"/>
    <mergeCell ref="AK17:AM17"/>
    <mergeCell ref="AK18:AM18"/>
    <mergeCell ref="AK19:AM19"/>
    <mergeCell ref="AK20:AM20"/>
    <mergeCell ref="AK21:AM21"/>
    <mergeCell ref="B36:AG36"/>
    <mergeCell ref="AI36:AM36"/>
    <mergeCell ref="AI37:AM37"/>
    <mergeCell ref="X42:AC42"/>
    <mergeCell ref="X43:AC43"/>
    <mergeCell ref="X44:AC44"/>
    <mergeCell ref="X45:AC45"/>
    <mergeCell ref="X46:AC46"/>
    <mergeCell ref="X47:AC47"/>
    <mergeCell ref="J49:P49"/>
    <mergeCell ref="Q49:W49"/>
    <mergeCell ref="X49:AD49"/>
    <mergeCell ref="X50:AD50"/>
    <mergeCell ref="X51:AD51"/>
    <mergeCell ref="X52:AC52"/>
  </mergeCells>
  <conditionalFormatting sqref="C23:AG23">
    <cfRule type="cellIs" dxfId="0" priority="1" operator="greaterThanOrEqual">
      <formula>"75%"</formula>
    </cfRule>
  </conditionalFormatting>
  <dataValidations>
    <dataValidation type="list" allowBlank="1" showErrorMessage="1" sqref="C37:AG39">
      <formula1>"10,9,8,7,6,5,4,3,2,1"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2" width="25.88"/>
    <col customWidth="1" min="3" max="19" width="4.25"/>
    <col customWidth="1" min="20" max="20" width="6.88"/>
    <col customWidth="1" min="21" max="33" width="4.25"/>
    <col customWidth="1" min="34" max="40" width="4.75"/>
  </cols>
  <sheetData>
    <row r="1" ht="17.25" customHeight="1">
      <c r="A1" s="120"/>
      <c r="B1" s="121"/>
      <c r="C1" s="122"/>
      <c r="D1" s="120"/>
      <c r="E1" s="121"/>
      <c r="F1" s="121"/>
      <c r="G1" s="121"/>
      <c r="H1" s="121"/>
      <c r="I1" s="121"/>
      <c r="J1" s="121"/>
      <c r="K1" s="121"/>
      <c r="L1" s="121"/>
      <c r="M1" s="123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</row>
    <row r="2" ht="17.25" customHeight="1">
      <c r="A2" s="120"/>
      <c r="B2" s="124"/>
      <c r="C2" s="21"/>
      <c r="D2" s="21"/>
      <c r="E2" s="21"/>
      <c r="F2" s="21"/>
      <c r="G2" s="21"/>
      <c r="H2" s="21"/>
      <c r="I2" s="125"/>
      <c r="J2" s="125"/>
      <c r="K2" s="125"/>
      <c r="L2" s="125"/>
      <c r="M2" s="126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21"/>
      <c r="AI2" s="21"/>
      <c r="AJ2" s="21"/>
      <c r="AK2" s="21"/>
      <c r="AL2" s="21"/>
      <c r="AM2" s="42"/>
      <c r="AN2" s="121"/>
    </row>
    <row r="3" ht="17.25" customHeight="1">
      <c r="A3" s="120"/>
      <c r="B3" s="33" t="s">
        <v>29</v>
      </c>
      <c r="I3" s="29" t="s">
        <v>39</v>
      </c>
      <c r="N3" s="127"/>
      <c r="O3" s="29" t="s">
        <v>41</v>
      </c>
      <c r="U3" s="127"/>
      <c r="V3" s="29" t="s">
        <v>42</v>
      </c>
      <c r="AA3" s="127"/>
      <c r="AB3" s="29" t="s">
        <v>26</v>
      </c>
      <c r="AM3" s="105"/>
      <c r="AN3" s="121"/>
    </row>
    <row r="4" ht="17.25" customHeight="1">
      <c r="A4" s="120"/>
      <c r="B4" s="85"/>
      <c r="I4" s="128">
        <f>SUM(countA($B$10:$B$21),$I$62)</f>
        <v>0</v>
      </c>
      <c r="N4" s="129"/>
      <c r="O4" s="130">
        <f>SUM(COUNTIF($C$10:$AG$21, true),$J$62)</f>
        <v>0</v>
      </c>
      <c r="U4" s="129"/>
      <c r="V4" s="131" t="str">
        <f>IFERROR(__xludf.DUMMYFUNCTION("iferror(SPARKLINE($AB$4:$AF$4,{""charttype"",""bar"";""max"",1;""color1"",""#c9e4b2""}))"),"")</f>
        <v/>
      </c>
      <c r="AA4" s="129"/>
      <c r="AB4" s="132">
        <f>$O$4/SUM(COUNTA($C$10:$AG$21),$K$62)</f>
        <v>0</v>
      </c>
      <c r="AM4" s="105"/>
      <c r="AN4" s="121"/>
    </row>
    <row r="5" ht="17.25" customHeight="1">
      <c r="A5" s="120"/>
      <c r="B5" s="133"/>
      <c r="C5" s="37"/>
      <c r="D5" s="37"/>
      <c r="E5" s="37"/>
      <c r="F5" s="37"/>
      <c r="G5" s="37"/>
      <c r="H5" s="37"/>
      <c r="I5" s="134"/>
      <c r="J5" s="134"/>
      <c r="K5" s="134"/>
      <c r="L5" s="134"/>
      <c r="M5" s="135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4"/>
      <c r="AG5" s="37"/>
      <c r="AH5" s="37"/>
      <c r="AI5" s="37"/>
      <c r="AJ5" s="37"/>
      <c r="AK5" s="37"/>
      <c r="AL5" s="37"/>
      <c r="AM5" s="44"/>
      <c r="AN5" s="121"/>
    </row>
    <row r="6" ht="17.25" customHeight="1">
      <c r="A6" s="120"/>
      <c r="B6" s="121"/>
      <c r="C6" s="122"/>
      <c r="D6" s="120"/>
      <c r="E6" s="121"/>
      <c r="F6" s="121"/>
      <c r="G6" s="121"/>
      <c r="H6" s="121"/>
      <c r="I6" s="121"/>
      <c r="J6" s="121"/>
      <c r="K6" s="121"/>
      <c r="L6" s="121"/>
      <c r="M6" s="123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</row>
    <row r="7" ht="17.25" customHeight="1">
      <c r="A7" s="120"/>
      <c r="B7" s="136" t="s">
        <v>43</v>
      </c>
      <c r="C7" s="190" t="s">
        <v>44</v>
      </c>
      <c r="D7" s="46"/>
      <c r="E7" s="46"/>
      <c r="F7" s="46"/>
      <c r="G7" s="46"/>
      <c r="H7" s="46"/>
      <c r="I7" s="47"/>
      <c r="J7" s="216" t="s">
        <v>45</v>
      </c>
      <c r="K7" s="46"/>
      <c r="L7" s="46"/>
      <c r="M7" s="46"/>
      <c r="N7" s="46"/>
      <c r="O7" s="46"/>
      <c r="P7" s="47"/>
      <c r="Q7" s="217" t="s">
        <v>46</v>
      </c>
      <c r="R7" s="46"/>
      <c r="S7" s="46"/>
      <c r="T7" s="46"/>
      <c r="U7" s="46"/>
      <c r="V7" s="46"/>
      <c r="W7" s="47"/>
      <c r="X7" s="218" t="s">
        <v>47</v>
      </c>
      <c r="Y7" s="46"/>
      <c r="Z7" s="46"/>
      <c r="AA7" s="46"/>
      <c r="AB7" s="46"/>
      <c r="AC7" s="46"/>
      <c r="AD7" s="47"/>
      <c r="AE7" s="141"/>
      <c r="AF7" s="46"/>
      <c r="AG7" s="47"/>
      <c r="AH7" s="121"/>
      <c r="AI7" s="62" t="s">
        <v>48</v>
      </c>
      <c r="AJ7" s="42"/>
      <c r="AK7" s="62" t="s">
        <v>49</v>
      </c>
      <c r="AL7" s="21"/>
      <c r="AM7" s="42"/>
      <c r="AN7" s="121"/>
    </row>
    <row r="8" ht="17.25" customHeight="1">
      <c r="A8" s="121"/>
      <c r="B8" s="86"/>
      <c r="C8" s="143">
        <f>weekday(date(Dashboard!$Q$3,$AG$45,C9),1)</f>
        <v>7</v>
      </c>
      <c r="D8" s="143">
        <f>weekday(date(Dashboard!$Q$3,$AG$45,D9),1)</f>
        <v>1</v>
      </c>
      <c r="E8" s="143">
        <f>weekday(date(Dashboard!$Q$3,$AG$45,E9),1)</f>
        <v>2</v>
      </c>
      <c r="F8" s="143">
        <f>weekday(date(Dashboard!$Q$3,$AG$45,F9),1)</f>
        <v>3</v>
      </c>
      <c r="G8" s="143">
        <f>weekday(date(Dashboard!$Q$3,$AG$45,G9),1)</f>
        <v>4</v>
      </c>
      <c r="H8" s="143">
        <f>weekday(date(Dashboard!$Q$3,$AG$45,H9),1)</f>
        <v>5</v>
      </c>
      <c r="I8" s="143">
        <f>weekday(date(Dashboard!$Q$3,$AG$45,I9),1)</f>
        <v>6</v>
      </c>
      <c r="J8" s="144">
        <f>weekday(date(Dashboard!$Q$3,$AG$45,J9),1)</f>
        <v>7</v>
      </c>
      <c r="K8" s="144">
        <f>weekday(date(Dashboard!$Q$3,$AG$45,K9),1)</f>
        <v>1</v>
      </c>
      <c r="L8" s="144">
        <f>weekday(date(Dashboard!$Q$3,$AG$45,L9),1)</f>
        <v>2</v>
      </c>
      <c r="M8" s="144">
        <f>weekday(date(Dashboard!$Q$3,$AG$45,M9),1)</f>
        <v>3</v>
      </c>
      <c r="N8" s="144">
        <f>weekday(date(Dashboard!$Q$3,$AG$45,N9),1)</f>
        <v>4</v>
      </c>
      <c r="O8" s="144">
        <f>weekday(date(Dashboard!$Q$3,$AG$45,O9),1)</f>
        <v>5</v>
      </c>
      <c r="P8" s="144">
        <f>weekday(date(Dashboard!$Q$3,$AG$45,P9),1)</f>
        <v>6</v>
      </c>
      <c r="Q8" s="145">
        <f>weekday(date(Dashboard!$Q$3,$AG$45,Q9),1)</f>
        <v>7</v>
      </c>
      <c r="R8" s="145">
        <f>weekday(date(Dashboard!$Q$3,$AG$45,R9),1)</f>
        <v>1</v>
      </c>
      <c r="S8" s="145">
        <f>weekday(date(Dashboard!$Q$3,$AG$45,S9),1)</f>
        <v>2</v>
      </c>
      <c r="T8" s="145">
        <f>weekday(date(Dashboard!$Q$3,$AG$45,T9),1)</f>
        <v>3</v>
      </c>
      <c r="U8" s="145">
        <f>weekday(date(Dashboard!$Q$3,$AG$45,U9),1)</f>
        <v>4</v>
      </c>
      <c r="V8" s="145">
        <f>weekday(date(Dashboard!$Q$3,$AG$45,V9),1)</f>
        <v>5</v>
      </c>
      <c r="W8" s="145">
        <f>weekday(date(Dashboard!$Q$3,$AG$45,W9),1)</f>
        <v>6</v>
      </c>
      <c r="X8" s="146">
        <f>weekday(date(Dashboard!$Q$3,$AG$45,X9),1)</f>
        <v>7</v>
      </c>
      <c r="Y8" s="146">
        <f>weekday(date(Dashboard!$Q$3,$AG$45,Y9),1)</f>
        <v>1</v>
      </c>
      <c r="Z8" s="146">
        <f>weekday(date(Dashboard!$Q$3,$AG$45,Z9),1)</f>
        <v>2</v>
      </c>
      <c r="AA8" s="146">
        <f>weekday(date(Dashboard!$Q$3,$AG$45,AA9),1)</f>
        <v>3</v>
      </c>
      <c r="AB8" s="146">
        <f>weekday(date(Dashboard!$Q$3,$AG$45,AB9),1)</f>
        <v>4</v>
      </c>
      <c r="AC8" s="146">
        <f>weekday(date(Dashboard!$Q$3,$AG$45,AC9),1)</f>
        <v>5</v>
      </c>
      <c r="AD8" s="146">
        <f>weekday(date(Dashboard!$Q$3,$AG$45,AD9),1)</f>
        <v>6</v>
      </c>
      <c r="AE8" s="147">
        <f>weekday(date(Dashboard!$Q$3,$AG$45,AE9),1)</f>
        <v>7</v>
      </c>
      <c r="AF8" s="147">
        <f>weekday(date(Dashboard!$Q$3,$AG$45,AF9),1)</f>
        <v>1</v>
      </c>
      <c r="AG8" s="148">
        <f>weekday(date(Dashboard!$Q$3,$AG$45,AG9),1)</f>
        <v>2</v>
      </c>
      <c r="AH8" s="149"/>
      <c r="AI8" s="43"/>
      <c r="AJ8" s="44"/>
      <c r="AK8" s="43"/>
      <c r="AL8" s="37"/>
      <c r="AM8" s="44"/>
      <c r="AN8" s="149"/>
    </row>
    <row r="9" ht="17.25" customHeight="1">
      <c r="A9" s="121"/>
      <c r="B9" s="150">
        <f>TODAY()</f>
        <v>46025</v>
      </c>
      <c r="C9" s="151">
        <v>1.0</v>
      </c>
      <c r="D9" s="151">
        <v>2.0</v>
      </c>
      <c r="E9" s="151">
        <v>3.0</v>
      </c>
      <c r="F9" s="151">
        <v>4.0</v>
      </c>
      <c r="G9" s="151">
        <v>5.0</v>
      </c>
      <c r="H9" s="151">
        <v>6.0</v>
      </c>
      <c r="I9" s="151">
        <v>7.0</v>
      </c>
      <c r="J9" s="152">
        <v>8.0</v>
      </c>
      <c r="K9" s="152">
        <v>9.0</v>
      </c>
      <c r="L9" s="152">
        <v>10.0</v>
      </c>
      <c r="M9" s="152">
        <v>11.0</v>
      </c>
      <c r="N9" s="152">
        <v>12.0</v>
      </c>
      <c r="O9" s="152">
        <v>13.0</v>
      </c>
      <c r="P9" s="152">
        <v>14.0</v>
      </c>
      <c r="Q9" s="153">
        <v>15.0</v>
      </c>
      <c r="R9" s="153">
        <v>16.0</v>
      </c>
      <c r="S9" s="153">
        <v>17.0</v>
      </c>
      <c r="T9" s="153">
        <v>18.0</v>
      </c>
      <c r="U9" s="153">
        <v>19.0</v>
      </c>
      <c r="V9" s="153">
        <v>20.0</v>
      </c>
      <c r="W9" s="153">
        <v>21.0</v>
      </c>
      <c r="X9" s="154">
        <v>22.0</v>
      </c>
      <c r="Y9" s="154">
        <v>23.0</v>
      </c>
      <c r="Z9" s="154">
        <v>24.0</v>
      </c>
      <c r="AA9" s="154">
        <v>25.0</v>
      </c>
      <c r="AB9" s="154">
        <v>26.0</v>
      </c>
      <c r="AC9" s="154">
        <v>27.0</v>
      </c>
      <c r="AD9" s="154">
        <v>28.0</v>
      </c>
      <c r="AE9" s="155">
        <v>29.0</v>
      </c>
      <c r="AF9" s="155">
        <v>30.0</v>
      </c>
      <c r="AG9" s="155">
        <v>31.0</v>
      </c>
      <c r="AH9" s="149"/>
      <c r="AI9" s="156" t="s">
        <v>14</v>
      </c>
      <c r="AJ9" s="156" t="s">
        <v>50</v>
      </c>
      <c r="AK9" s="157"/>
      <c r="AL9" s="158"/>
      <c r="AM9" s="159"/>
      <c r="AN9" s="149"/>
    </row>
    <row r="10" ht="17.25" customHeight="1">
      <c r="A10" s="121"/>
      <c r="B10" s="160"/>
      <c r="C10" s="161" t="b">
        <v>0</v>
      </c>
      <c r="D10" s="162" t="b">
        <v>0</v>
      </c>
      <c r="E10" s="162" t="b">
        <v>0</v>
      </c>
      <c r="F10" s="162" t="b">
        <v>0</v>
      </c>
      <c r="G10" s="162" t="b">
        <v>0</v>
      </c>
      <c r="H10" s="162" t="b">
        <v>0</v>
      </c>
      <c r="I10" s="162" t="b">
        <v>0</v>
      </c>
      <c r="J10" s="163" t="b">
        <v>0</v>
      </c>
      <c r="K10" s="163" t="b">
        <v>0</v>
      </c>
      <c r="L10" s="163" t="b">
        <v>0</v>
      </c>
      <c r="M10" s="163" t="b">
        <v>0</v>
      </c>
      <c r="N10" s="163" t="b">
        <v>0</v>
      </c>
      <c r="O10" s="163" t="b">
        <v>0</v>
      </c>
      <c r="P10" s="163" t="b">
        <v>0</v>
      </c>
      <c r="Q10" s="164" t="b">
        <v>0</v>
      </c>
      <c r="R10" s="164" t="b">
        <v>0</v>
      </c>
      <c r="S10" s="164" t="b">
        <v>0</v>
      </c>
      <c r="T10" s="164" t="b">
        <v>0</v>
      </c>
      <c r="U10" s="164" t="b">
        <v>0</v>
      </c>
      <c r="V10" s="164" t="b">
        <v>0</v>
      </c>
      <c r="W10" s="164" t="b">
        <v>0</v>
      </c>
      <c r="X10" s="165" t="b">
        <v>0</v>
      </c>
      <c r="Y10" s="165" t="b">
        <v>0</v>
      </c>
      <c r="Z10" s="165" t="b">
        <v>0</v>
      </c>
      <c r="AA10" s="165" t="b">
        <v>0</v>
      </c>
      <c r="AB10" s="165" t="b">
        <v>0</v>
      </c>
      <c r="AC10" s="165" t="b">
        <v>0</v>
      </c>
      <c r="AD10" s="165" t="b">
        <v>0</v>
      </c>
      <c r="AE10" s="166" t="b">
        <v>0</v>
      </c>
      <c r="AF10" s="166" t="b">
        <v>0</v>
      </c>
      <c r="AG10" s="166" t="b">
        <v>0</v>
      </c>
      <c r="AH10" s="149"/>
      <c r="AI10" s="167"/>
      <c r="AJ10" s="168">
        <f t="array" ref="AJ10:AJ21">MMULT(N($C$10:$AG$21), TRANSPOSE(COLUMN($C$10:$AG$21)^0))
</f>
        <v>0</v>
      </c>
      <c r="AK10" s="169" t="str">
        <f>IFERROR(__xludf.DUMMYFUNCTION("iferror(SPARKLINE(AJ10/AI10,{""charttype"",""bar"";""max"",1;""color1"",""#c9e4b2""}))"),"")</f>
        <v/>
      </c>
      <c r="AL10" s="46"/>
      <c r="AM10" s="47"/>
      <c r="AN10" s="170"/>
    </row>
    <row r="11" ht="17.25" customHeight="1">
      <c r="A11" s="121"/>
      <c r="B11" s="160"/>
      <c r="C11" s="161" t="b">
        <v>0</v>
      </c>
      <c r="D11" s="162" t="b">
        <v>0</v>
      </c>
      <c r="E11" s="162" t="b">
        <v>0</v>
      </c>
      <c r="F11" s="162" t="b">
        <v>0</v>
      </c>
      <c r="G11" s="162" t="b">
        <v>0</v>
      </c>
      <c r="H11" s="162" t="b">
        <v>0</v>
      </c>
      <c r="I11" s="162" t="b">
        <v>0</v>
      </c>
      <c r="J11" s="163" t="b">
        <v>0</v>
      </c>
      <c r="K11" s="163" t="b">
        <v>0</v>
      </c>
      <c r="L11" s="163" t="b">
        <v>0</v>
      </c>
      <c r="M11" s="163" t="b">
        <v>0</v>
      </c>
      <c r="N11" s="163" t="b">
        <v>0</v>
      </c>
      <c r="O11" s="163" t="b">
        <v>0</v>
      </c>
      <c r="P11" s="163" t="b">
        <v>0</v>
      </c>
      <c r="Q11" s="164" t="b">
        <v>0</v>
      </c>
      <c r="R11" s="164" t="b">
        <v>0</v>
      </c>
      <c r="S11" s="164" t="b">
        <v>0</v>
      </c>
      <c r="T11" s="164" t="b">
        <v>0</v>
      </c>
      <c r="U11" s="164" t="b">
        <v>0</v>
      </c>
      <c r="V11" s="164" t="b">
        <v>0</v>
      </c>
      <c r="W11" s="164" t="b">
        <v>0</v>
      </c>
      <c r="X11" s="165" t="b">
        <v>0</v>
      </c>
      <c r="Y11" s="165" t="b">
        <v>0</v>
      </c>
      <c r="Z11" s="165" t="b">
        <v>0</v>
      </c>
      <c r="AA11" s="165" t="b">
        <v>0</v>
      </c>
      <c r="AB11" s="165" t="b">
        <v>0</v>
      </c>
      <c r="AC11" s="165" t="b">
        <v>0</v>
      </c>
      <c r="AD11" s="165" t="b">
        <v>0</v>
      </c>
      <c r="AE11" s="166" t="b">
        <v>0</v>
      </c>
      <c r="AF11" s="166" t="b">
        <v>0</v>
      </c>
      <c r="AG11" s="166" t="b">
        <v>0</v>
      </c>
      <c r="AH11" s="149"/>
      <c r="AI11" s="167"/>
      <c r="AJ11" s="160">
        <v>0.0</v>
      </c>
      <c r="AK11" s="169" t="str">
        <f>IFERROR(__xludf.DUMMYFUNCTION("iferror(SPARKLINE(AJ11/AI11,{""charttype"",""bar"";""max"",1;""color1"",""#c9e4b2""}))"),"")</f>
        <v/>
      </c>
      <c r="AL11" s="46"/>
      <c r="AM11" s="47"/>
      <c r="AN11" s="170"/>
    </row>
    <row r="12" ht="17.25" customHeight="1">
      <c r="A12" s="121"/>
      <c r="B12" s="160"/>
      <c r="C12" s="161" t="b">
        <v>0</v>
      </c>
      <c r="D12" s="162" t="b">
        <v>0</v>
      </c>
      <c r="E12" s="162" t="b">
        <v>0</v>
      </c>
      <c r="F12" s="162" t="b">
        <v>0</v>
      </c>
      <c r="G12" s="162" t="b">
        <v>0</v>
      </c>
      <c r="H12" s="162" t="b">
        <v>0</v>
      </c>
      <c r="I12" s="162" t="b">
        <v>0</v>
      </c>
      <c r="J12" s="163" t="b">
        <v>0</v>
      </c>
      <c r="K12" s="163" t="b">
        <v>0</v>
      </c>
      <c r="L12" s="163" t="b">
        <v>0</v>
      </c>
      <c r="M12" s="163" t="b">
        <v>0</v>
      </c>
      <c r="N12" s="163" t="b">
        <v>0</v>
      </c>
      <c r="O12" s="163" t="b">
        <v>0</v>
      </c>
      <c r="P12" s="163" t="b">
        <v>0</v>
      </c>
      <c r="Q12" s="164" t="b">
        <v>0</v>
      </c>
      <c r="R12" s="164" t="b">
        <v>0</v>
      </c>
      <c r="S12" s="164" t="b">
        <v>0</v>
      </c>
      <c r="T12" s="164" t="b">
        <v>0</v>
      </c>
      <c r="U12" s="164" t="b">
        <v>0</v>
      </c>
      <c r="V12" s="164" t="b">
        <v>0</v>
      </c>
      <c r="W12" s="164" t="b">
        <v>0</v>
      </c>
      <c r="X12" s="165" t="b">
        <v>0</v>
      </c>
      <c r="Y12" s="165" t="b">
        <v>0</v>
      </c>
      <c r="Z12" s="165" t="b">
        <v>0</v>
      </c>
      <c r="AA12" s="165" t="b">
        <v>0</v>
      </c>
      <c r="AB12" s="165" t="b">
        <v>0</v>
      </c>
      <c r="AC12" s="165" t="b">
        <v>0</v>
      </c>
      <c r="AD12" s="165" t="b">
        <v>0</v>
      </c>
      <c r="AE12" s="166" t="b">
        <v>0</v>
      </c>
      <c r="AF12" s="166" t="b">
        <v>0</v>
      </c>
      <c r="AG12" s="166" t="b">
        <v>0</v>
      </c>
      <c r="AH12" s="149"/>
      <c r="AI12" s="167"/>
      <c r="AJ12" s="160">
        <v>0.0</v>
      </c>
      <c r="AK12" s="169" t="str">
        <f>IFERROR(__xludf.DUMMYFUNCTION("iferror(SPARKLINE(AJ12/AI12,{""charttype"",""bar"";""max"",1;""color1"",""#c9e4b2""}))"),"")</f>
        <v/>
      </c>
      <c r="AL12" s="46"/>
      <c r="AM12" s="47"/>
      <c r="AN12" s="170"/>
    </row>
    <row r="13" ht="17.25" customHeight="1">
      <c r="A13" s="121"/>
      <c r="B13" s="160"/>
      <c r="C13" s="161" t="b">
        <v>0</v>
      </c>
      <c r="D13" s="162" t="b">
        <v>0</v>
      </c>
      <c r="E13" s="162" t="b">
        <v>0</v>
      </c>
      <c r="F13" s="162" t="b">
        <v>0</v>
      </c>
      <c r="G13" s="162" t="b">
        <v>0</v>
      </c>
      <c r="H13" s="162" t="b">
        <v>0</v>
      </c>
      <c r="I13" s="162" t="b">
        <v>0</v>
      </c>
      <c r="J13" s="163" t="b">
        <v>0</v>
      </c>
      <c r="K13" s="163" t="b">
        <v>0</v>
      </c>
      <c r="L13" s="163" t="b">
        <v>0</v>
      </c>
      <c r="M13" s="163" t="b">
        <v>0</v>
      </c>
      <c r="N13" s="163" t="b">
        <v>0</v>
      </c>
      <c r="O13" s="163" t="b">
        <v>0</v>
      </c>
      <c r="P13" s="163" t="b">
        <v>0</v>
      </c>
      <c r="Q13" s="164" t="b">
        <v>0</v>
      </c>
      <c r="R13" s="164" t="b">
        <v>0</v>
      </c>
      <c r="S13" s="164" t="b">
        <v>0</v>
      </c>
      <c r="T13" s="164" t="b">
        <v>0</v>
      </c>
      <c r="U13" s="164" t="b">
        <v>0</v>
      </c>
      <c r="V13" s="164" t="b">
        <v>0</v>
      </c>
      <c r="W13" s="164" t="b">
        <v>0</v>
      </c>
      <c r="X13" s="165" t="b">
        <v>0</v>
      </c>
      <c r="Y13" s="165" t="b">
        <v>0</v>
      </c>
      <c r="Z13" s="165" t="b">
        <v>0</v>
      </c>
      <c r="AA13" s="165" t="b">
        <v>0</v>
      </c>
      <c r="AB13" s="165" t="b">
        <v>0</v>
      </c>
      <c r="AC13" s="165" t="b">
        <v>0</v>
      </c>
      <c r="AD13" s="165" t="b">
        <v>0</v>
      </c>
      <c r="AE13" s="166" t="b">
        <v>0</v>
      </c>
      <c r="AF13" s="166" t="b">
        <v>0</v>
      </c>
      <c r="AG13" s="166" t="b">
        <v>0</v>
      </c>
      <c r="AH13" s="149"/>
      <c r="AI13" s="167"/>
      <c r="AJ13" s="160">
        <v>0.0</v>
      </c>
      <c r="AK13" s="169" t="str">
        <f>IFERROR(__xludf.DUMMYFUNCTION("iferror(SPARKLINE(AJ13/AI13,{""charttype"",""bar"";""max"",1;""color1"",""#c9e4b2""}))"),"")</f>
        <v/>
      </c>
      <c r="AL13" s="46"/>
      <c r="AM13" s="47"/>
      <c r="AN13" s="170"/>
    </row>
    <row r="14" ht="17.25" customHeight="1">
      <c r="A14" s="121"/>
      <c r="B14" s="160"/>
      <c r="C14" s="161" t="b">
        <v>0</v>
      </c>
      <c r="D14" s="162" t="b">
        <v>0</v>
      </c>
      <c r="E14" s="162" t="b">
        <v>0</v>
      </c>
      <c r="F14" s="162" t="b">
        <v>0</v>
      </c>
      <c r="G14" s="162" t="b">
        <v>0</v>
      </c>
      <c r="H14" s="162" t="b">
        <v>0</v>
      </c>
      <c r="I14" s="162" t="b">
        <v>0</v>
      </c>
      <c r="J14" s="163" t="b">
        <v>0</v>
      </c>
      <c r="K14" s="163" t="b">
        <v>0</v>
      </c>
      <c r="L14" s="163" t="b">
        <v>0</v>
      </c>
      <c r="M14" s="163" t="b">
        <v>0</v>
      </c>
      <c r="N14" s="163" t="b">
        <v>0</v>
      </c>
      <c r="O14" s="163" t="b">
        <v>0</v>
      </c>
      <c r="P14" s="163" t="b">
        <v>0</v>
      </c>
      <c r="Q14" s="164" t="b">
        <v>0</v>
      </c>
      <c r="R14" s="164" t="b">
        <v>0</v>
      </c>
      <c r="S14" s="164" t="b">
        <v>0</v>
      </c>
      <c r="T14" s="164" t="b">
        <v>0</v>
      </c>
      <c r="U14" s="164" t="b">
        <v>0</v>
      </c>
      <c r="V14" s="164" t="b">
        <v>0</v>
      </c>
      <c r="W14" s="164" t="b">
        <v>0</v>
      </c>
      <c r="X14" s="165" t="b">
        <v>0</v>
      </c>
      <c r="Y14" s="165" t="b">
        <v>0</v>
      </c>
      <c r="Z14" s="165" t="b">
        <v>0</v>
      </c>
      <c r="AA14" s="165" t="b">
        <v>0</v>
      </c>
      <c r="AB14" s="165" t="b">
        <v>0</v>
      </c>
      <c r="AC14" s="165" t="b">
        <v>0</v>
      </c>
      <c r="AD14" s="165" t="b">
        <v>0</v>
      </c>
      <c r="AE14" s="166" t="b">
        <v>0</v>
      </c>
      <c r="AF14" s="166" t="b">
        <v>0</v>
      </c>
      <c r="AG14" s="166" t="b">
        <v>0</v>
      </c>
      <c r="AH14" s="149"/>
      <c r="AI14" s="167"/>
      <c r="AJ14" s="160">
        <v>0.0</v>
      </c>
      <c r="AK14" s="169" t="str">
        <f>IFERROR(__xludf.DUMMYFUNCTION("iferror(SPARKLINE(AJ14/AI14,{""charttype"",""bar"";""max"",1;""color1"",""#c9e4b2""}))"),"")</f>
        <v/>
      </c>
      <c r="AL14" s="46"/>
      <c r="AM14" s="47"/>
      <c r="AN14" s="170"/>
    </row>
    <row r="15" ht="17.25" customHeight="1">
      <c r="A15" s="121"/>
      <c r="B15" s="160"/>
      <c r="C15" s="161" t="b">
        <v>0</v>
      </c>
      <c r="D15" s="162" t="b">
        <v>0</v>
      </c>
      <c r="E15" s="162" t="b">
        <v>0</v>
      </c>
      <c r="F15" s="162" t="b">
        <v>0</v>
      </c>
      <c r="G15" s="162" t="b">
        <v>0</v>
      </c>
      <c r="H15" s="162" t="b">
        <v>0</v>
      </c>
      <c r="I15" s="162" t="b">
        <v>0</v>
      </c>
      <c r="J15" s="163" t="b">
        <v>0</v>
      </c>
      <c r="K15" s="163" t="b">
        <v>0</v>
      </c>
      <c r="L15" s="163" t="b">
        <v>0</v>
      </c>
      <c r="M15" s="163" t="b">
        <v>0</v>
      </c>
      <c r="N15" s="163" t="b">
        <v>0</v>
      </c>
      <c r="O15" s="163" t="b">
        <v>0</v>
      </c>
      <c r="P15" s="163" t="b">
        <v>0</v>
      </c>
      <c r="Q15" s="164" t="b">
        <v>0</v>
      </c>
      <c r="R15" s="164" t="b">
        <v>0</v>
      </c>
      <c r="S15" s="164" t="b">
        <v>0</v>
      </c>
      <c r="T15" s="164" t="b">
        <v>0</v>
      </c>
      <c r="U15" s="164" t="b">
        <v>0</v>
      </c>
      <c r="V15" s="164" t="b">
        <v>0</v>
      </c>
      <c r="W15" s="164" t="b">
        <v>0</v>
      </c>
      <c r="X15" s="165" t="b">
        <v>0</v>
      </c>
      <c r="Y15" s="165" t="b">
        <v>0</v>
      </c>
      <c r="Z15" s="165" t="b">
        <v>0</v>
      </c>
      <c r="AA15" s="165" t="b">
        <v>0</v>
      </c>
      <c r="AB15" s="165" t="b">
        <v>0</v>
      </c>
      <c r="AC15" s="165" t="b">
        <v>0</v>
      </c>
      <c r="AD15" s="165" t="b">
        <v>0</v>
      </c>
      <c r="AE15" s="166" t="b">
        <v>0</v>
      </c>
      <c r="AF15" s="166" t="b">
        <v>0</v>
      </c>
      <c r="AG15" s="166" t="b">
        <v>0</v>
      </c>
      <c r="AH15" s="149"/>
      <c r="AI15" s="167"/>
      <c r="AJ15" s="160">
        <v>0.0</v>
      </c>
      <c r="AK15" s="169" t="str">
        <f>IFERROR(__xludf.DUMMYFUNCTION("iferror(SPARKLINE(AJ15/AI15,{""charttype"",""bar"";""max"",1;""color1"",""#c9e4b2""}))"),"")</f>
        <v/>
      </c>
      <c r="AL15" s="46"/>
      <c r="AM15" s="47"/>
      <c r="AN15" s="170"/>
    </row>
    <row r="16" ht="17.25" customHeight="1">
      <c r="A16" s="121"/>
      <c r="B16" s="160"/>
      <c r="C16" s="161" t="b">
        <v>0</v>
      </c>
      <c r="D16" s="162" t="b">
        <v>0</v>
      </c>
      <c r="E16" s="162" t="b">
        <v>0</v>
      </c>
      <c r="F16" s="162" t="b">
        <v>0</v>
      </c>
      <c r="G16" s="162" t="b">
        <v>0</v>
      </c>
      <c r="H16" s="162" t="b">
        <v>0</v>
      </c>
      <c r="I16" s="162" t="b">
        <v>0</v>
      </c>
      <c r="J16" s="163" t="b">
        <v>0</v>
      </c>
      <c r="K16" s="163" t="b">
        <v>0</v>
      </c>
      <c r="L16" s="163" t="b">
        <v>0</v>
      </c>
      <c r="M16" s="163" t="b">
        <v>0</v>
      </c>
      <c r="N16" s="163" t="b">
        <v>0</v>
      </c>
      <c r="O16" s="163" t="b">
        <v>0</v>
      </c>
      <c r="P16" s="163" t="b">
        <v>0</v>
      </c>
      <c r="Q16" s="164" t="b">
        <v>0</v>
      </c>
      <c r="R16" s="164" t="b">
        <v>0</v>
      </c>
      <c r="S16" s="164" t="b">
        <v>0</v>
      </c>
      <c r="T16" s="164" t="b">
        <v>0</v>
      </c>
      <c r="U16" s="164" t="b">
        <v>0</v>
      </c>
      <c r="V16" s="164" t="b">
        <v>0</v>
      </c>
      <c r="W16" s="164" t="b">
        <v>0</v>
      </c>
      <c r="X16" s="165" t="b">
        <v>0</v>
      </c>
      <c r="Y16" s="165" t="b">
        <v>0</v>
      </c>
      <c r="Z16" s="165" t="b">
        <v>0</v>
      </c>
      <c r="AA16" s="165" t="b">
        <v>0</v>
      </c>
      <c r="AB16" s="165" t="b">
        <v>0</v>
      </c>
      <c r="AC16" s="165" t="b">
        <v>0</v>
      </c>
      <c r="AD16" s="165" t="b">
        <v>0</v>
      </c>
      <c r="AE16" s="166" t="b">
        <v>0</v>
      </c>
      <c r="AF16" s="166" t="b">
        <v>0</v>
      </c>
      <c r="AG16" s="166" t="b">
        <v>0</v>
      </c>
      <c r="AH16" s="149"/>
      <c r="AI16" s="167"/>
      <c r="AJ16" s="160">
        <v>0.0</v>
      </c>
      <c r="AK16" s="169" t="str">
        <f>IFERROR(__xludf.DUMMYFUNCTION("iferror(SPARKLINE(AJ16/AI16,{""charttype"",""bar"";""max"",1;""color1"",""#c9e4b2""}))"),"")</f>
        <v/>
      </c>
      <c r="AL16" s="46"/>
      <c r="AM16" s="47"/>
      <c r="AN16" s="170"/>
    </row>
    <row r="17" ht="17.25" customHeight="1">
      <c r="A17" s="121"/>
      <c r="B17" s="160"/>
      <c r="C17" s="161" t="b">
        <v>0</v>
      </c>
      <c r="D17" s="162" t="b">
        <v>0</v>
      </c>
      <c r="E17" s="162" t="b">
        <v>0</v>
      </c>
      <c r="F17" s="162" t="b">
        <v>0</v>
      </c>
      <c r="G17" s="162" t="b">
        <v>0</v>
      </c>
      <c r="H17" s="162" t="b">
        <v>0</v>
      </c>
      <c r="I17" s="162" t="b">
        <v>0</v>
      </c>
      <c r="J17" s="163" t="b">
        <v>0</v>
      </c>
      <c r="K17" s="163" t="b">
        <v>0</v>
      </c>
      <c r="L17" s="163" t="b">
        <v>0</v>
      </c>
      <c r="M17" s="163" t="b">
        <v>0</v>
      </c>
      <c r="N17" s="163" t="b">
        <v>0</v>
      </c>
      <c r="O17" s="163" t="b">
        <v>0</v>
      </c>
      <c r="P17" s="163" t="b">
        <v>0</v>
      </c>
      <c r="Q17" s="164" t="b">
        <v>0</v>
      </c>
      <c r="R17" s="164" t="b">
        <v>0</v>
      </c>
      <c r="S17" s="164" t="b">
        <v>0</v>
      </c>
      <c r="T17" s="164" t="b">
        <v>0</v>
      </c>
      <c r="U17" s="164" t="b">
        <v>0</v>
      </c>
      <c r="V17" s="164" t="b">
        <v>0</v>
      </c>
      <c r="W17" s="164" t="b">
        <v>0</v>
      </c>
      <c r="X17" s="165" t="b">
        <v>0</v>
      </c>
      <c r="Y17" s="165" t="b">
        <v>0</v>
      </c>
      <c r="Z17" s="165" t="b">
        <v>0</v>
      </c>
      <c r="AA17" s="165" t="b">
        <v>0</v>
      </c>
      <c r="AB17" s="165" t="b">
        <v>0</v>
      </c>
      <c r="AC17" s="165" t="b">
        <v>0</v>
      </c>
      <c r="AD17" s="165" t="b">
        <v>0</v>
      </c>
      <c r="AE17" s="166" t="b">
        <v>0</v>
      </c>
      <c r="AF17" s="166" t="b">
        <v>0</v>
      </c>
      <c r="AG17" s="166" t="b">
        <v>0</v>
      </c>
      <c r="AH17" s="149"/>
      <c r="AI17" s="167"/>
      <c r="AJ17" s="160">
        <v>0.0</v>
      </c>
      <c r="AK17" s="169" t="str">
        <f>IFERROR(__xludf.DUMMYFUNCTION("iferror(SPARKLINE(AJ17/AI17,{""charttype"",""bar"";""max"",1;""color1"",""#c9e4b2""}))"),"")</f>
        <v/>
      </c>
      <c r="AL17" s="46"/>
      <c r="AM17" s="47"/>
      <c r="AN17" s="170"/>
    </row>
    <row r="18" ht="17.25" customHeight="1">
      <c r="A18" s="121"/>
      <c r="B18" s="160"/>
      <c r="C18" s="161" t="b">
        <v>0</v>
      </c>
      <c r="D18" s="162" t="b">
        <v>0</v>
      </c>
      <c r="E18" s="162" t="b">
        <v>0</v>
      </c>
      <c r="F18" s="162" t="b">
        <v>0</v>
      </c>
      <c r="G18" s="162" t="b">
        <v>0</v>
      </c>
      <c r="H18" s="162" t="b">
        <v>0</v>
      </c>
      <c r="I18" s="162" t="b">
        <v>0</v>
      </c>
      <c r="J18" s="163" t="b">
        <v>0</v>
      </c>
      <c r="K18" s="163" t="b">
        <v>0</v>
      </c>
      <c r="L18" s="163" t="b">
        <v>0</v>
      </c>
      <c r="M18" s="163" t="b">
        <v>0</v>
      </c>
      <c r="N18" s="163" t="b">
        <v>0</v>
      </c>
      <c r="O18" s="163" t="b">
        <v>0</v>
      </c>
      <c r="P18" s="163" t="b">
        <v>0</v>
      </c>
      <c r="Q18" s="164" t="b">
        <v>0</v>
      </c>
      <c r="R18" s="164" t="b">
        <v>0</v>
      </c>
      <c r="S18" s="164" t="b">
        <v>0</v>
      </c>
      <c r="T18" s="164" t="b">
        <v>0</v>
      </c>
      <c r="U18" s="164" t="b">
        <v>0</v>
      </c>
      <c r="V18" s="164" t="b">
        <v>0</v>
      </c>
      <c r="W18" s="164" t="b">
        <v>0</v>
      </c>
      <c r="X18" s="165" t="b">
        <v>0</v>
      </c>
      <c r="Y18" s="165" t="b">
        <v>0</v>
      </c>
      <c r="Z18" s="165" t="b">
        <v>0</v>
      </c>
      <c r="AA18" s="165" t="b">
        <v>0</v>
      </c>
      <c r="AB18" s="165" t="b">
        <v>0</v>
      </c>
      <c r="AC18" s="165" t="b">
        <v>0</v>
      </c>
      <c r="AD18" s="165" t="b">
        <v>0</v>
      </c>
      <c r="AE18" s="166" t="b">
        <v>0</v>
      </c>
      <c r="AF18" s="166" t="b">
        <v>0</v>
      </c>
      <c r="AG18" s="166" t="b">
        <v>0</v>
      </c>
      <c r="AH18" s="149"/>
      <c r="AI18" s="167"/>
      <c r="AJ18" s="160">
        <v>0.0</v>
      </c>
      <c r="AK18" s="169" t="str">
        <f>IFERROR(__xludf.DUMMYFUNCTION("iferror(SPARKLINE(AJ18/AI18,{""charttype"",""bar"";""max"",1;""color1"",""#c9e4b2""}))"),"")</f>
        <v/>
      </c>
      <c r="AL18" s="46"/>
      <c r="AM18" s="47"/>
      <c r="AN18" s="170"/>
    </row>
    <row r="19" ht="17.25" customHeight="1">
      <c r="A19" s="121"/>
      <c r="B19" s="160"/>
      <c r="C19" s="161" t="b">
        <v>0</v>
      </c>
      <c r="D19" s="162" t="b">
        <v>0</v>
      </c>
      <c r="E19" s="162" t="b">
        <v>0</v>
      </c>
      <c r="F19" s="162" t="b">
        <v>0</v>
      </c>
      <c r="G19" s="162" t="b">
        <v>0</v>
      </c>
      <c r="H19" s="162" t="b">
        <v>0</v>
      </c>
      <c r="I19" s="162" t="b">
        <v>0</v>
      </c>
      <c r="J19" s="163" t="b">
        <v>0</v>
      </c>
      <c r="K19" s="163" t="b">
        <v>0</v>
      </c>
      <c r="L19" s="163" t="b">
        <v>0</v>
      </c>
      <c r="M19" s="163" t="b">
        <v>0</v>
      </c>
      <c r="N19" s="163" t="b">
        <v>0</v>
      </c>
      <c r="O19" s="163" t="b">
        <v>0</v>
      </c>
      <c r="P19" s="163" t="b">
        <v>0</v>
      </c>
      <c r="Q19" s="164" t="b">
        <v>0</v>
      </c>
      <c r="R19" s="164" t="b">
        <v>0</v>
      </c>
      <c r="S19" s="164" t="b">
        <v>0</v>
      </c>
      <c r="T19" s="164" t="b">
        <v>0</v>
      </c>
      <c r="U19" s="164" t="b">
        <v>0</v>
      </c>
      <c r="V19" s="164" t="b">
        <v>0</v>
      </c>
      <c r="W19" s="164" t="b">
        <v>0</v>
      </c>
      <c r="X19" s="165" t="b">
        <v>0</v>
      </c>
      <c r="Y19" s="165" t="b">
        <v>0</v>
      </c>
      <c r="Z19" s="165" t="b">
        <v>0</v>
      </c>
      <c r="AA19" s="165" t="b">
        <v>0</v>
      </c>
      <c r="AB19" s="165" t="b">
        <v>0</v>
      </c>
      <c r="AC19" s="165" t="b">
        <v>0</v>
      </c>
      <c r="AD19" s="165" t="b">
        <v>0</v>
      </c>
      <c r="AE19" s="166" t="b">
        <v>0</v>
      </c>
      <c r="AF19" s="166" t="b">
        <v>0</v>
      </c>
      <c r="AG19" s="166" t="b">
        <v>0</v>
      </c>
      <c r="AH19" s="149"/>
      <c r="AI19" s="167"/>
      <c r="AJ19" s="160">
        <v>0.0</v>
      </c>
      <c r="AK19" s="169" t="str">
        <f>IFERROR(__xludf.DUMMYFUNCTION("iferror(SPARKLINE(AJ19/AI19,{""charttype"",""bar"";""max"",1;""color1"",""#c9e4b2""}))"),"")</f>
        <v/>
      </c>
      <c r="AL19" s="46"/>
      <c r="AM19" s="47"/>
      <c r="AN19" s="170"/>
    </row>
    <row r="20" ht="17.25" customHeight="1">
      <c r="A20" s="121"/>
      <c r="B20" s="160"/>
      <c r="C20" s="161" t="b">
        <v>0</v>
      </c>
      <c r="D20" s="162" t="b">
        <v>0</v>
      </c>
      <c r="E20" s="162" t="b">
        <v>0</v>
      </c>
      <c r="F20" s="162" t="b">
        <v>0</v>
      </c>
      <c r="G20" s="162" t="b">
        <v>0</v>
      </c>
      <c r="H20" s="162" t="b">
        <v>0</v>
      </c>
      <c r="I20" s="162" t="b">
        <v>0</v>
      </c>
      <c r="J20" s="163" t="b">
        <v>0</v>
      </c>
      <c r="K20" s="163" t="b">
        <v>0</v>
      </c>
      <c r="L20" s="163" t="b">
        <v>0</v>
      </c>
      <c r="M20" s="163" t="b">
        <v>0</v>
      </c>
      <c r="N20" s="163" t="b">
        <v>0</v>
      </c>
      <c r="O20" s="163" t="b">
        <v>0</v>
      </c>
      <c r="P20" s="163" t="b">
        <v>0</v>
      </c>
      <c r="Q20" s="164" t="b">
        <v>0</v>
      </c>
      <c r="R20" s="164" t="b">
        <v>0</v>
      </c>
      <c r="S20" s="164" t="b">
        <v>0</v>
      </c>
      <c r="T20" s="164" t="b">
        <v>0</v>
      </c>
      <c r="U20" s="164" t="b">
        <v>0</v>
      </c>
      <c r="V20" s="164" t="b">
        <v>0</v>
      </c>
      <c r="W20" s="164" t="b">
        <v>0</v>
      </c>
      <c r="X20" s="165" t="b">
        <v>0</v>
      </c>
      <c r="Y20" s="165" t="b">
        <v>0</v>
      </c>
      <c r="Z20" s="165" t="b">
        <v>0</v>
      </c>
      <c r="AA20" s="165" t="b">
        <v>0</v>
      </c>
      <c r="AB20" s="165" t="b">
        <v>0</v>
      </c>
      <c r="AC20" s="165" t="b">
        <v>0</v>
      </c>
      <c r="AD20" s="165" t="b">
        <v>0</v>
      </c>
      <c r="AE20" s="166" t="b">
        <v>0</v>
      </c>
      <c r="AF20" s="166" t="b">
        <v>0</v>
      </c>
      <c r="AG20" s="166" t="b">
        <v>0</v>
      </c>
      <c r="AH20" s="149"/>
      <c r="AI20" s="167"/>
      <c r="AJ20" s="160">
        <v>0.0</v>
      </c>
      <c r="AK20" s="169" t="str">
        <f>IFERROR(__xludf.DUMMYFUNCTION("iferror(SPARKLINE(AJ20/AI20,{""charttype"",""bar"";""max"",1;""color1"",""#c9e4b2""}))"),"")</f>
        <v/>
      </c>
      <c r="AL20" s="46"/>
      <c r="AM20" s="47"/>
      <c r="AN20" s="170"/>
    </row>
    <row r="21" ht="17.25" customHeight="1">
      <c r="A21" s="121"/>
      <c r="B21" s="160"/>
      <c r="C21" s="171" t="b">
        <v>0</v>
      </c>
      <c r="D21" s="172" t="b">
        <v>0</v>
      </c>
      <c r="E21" s="172" t="b">
        <v>0</v>
      </c>
      <c r="F21" s="172" t="b">
        <v>0</v>
      </c>
      <c r="G21" s="172" t="b">
        <v>0</v>
      </c>
      <c r="H21" s="172" t="b">
        <v>0</v>
      </c>
      <c r="I21" s="172" t="b">
        <v>0</v>
      </c>
      <c r="J21" s="173" t="b">
        <v>0</v>
      </c>
      <c r="K21" s="173" t="b">
        <v>0</v>
      </c>
      <c r="L21" s="173" t="b">
        <v>0</v>
      </c>
      <c r="M21" s="173" t="b">
        <v>0</v>
      </c>
      <c r="N21" s="173" t="b">
        <v>0</v>
      </c>
      <c r="O21" s="173" t="b">
        <v>0</v>
      </c>
      <c r="P21" s="173" t="b">
        <v>0</v>
      </c>
      <c r="Q21" s="174" t="b">
        <v>0</v>
      </c>
      <c r="R21" s="174" t="b">
        <v>0</v>
      </c>
      <c r="S21" s="174" t="b">
        <v>0</v>
      </c>
      <c r="T21" s="174" t="b">
        <v>0</v>
      </c>
      <c r="U21" s="174" t="b">
        <v>0</v>
      </c>
      <c r="V21" s="174" t="b">
        <v>0</v>
      </c>
      <c r="W21" s="174" t="b">
        <v>0</v>
      </c>
      <c r="X21" s="175" t="b">
        <v>0</v>
      </c>
      <c r="Y21" s="175" t="b">
        <v>0</v>
      </c>
      <c r="Z21" s="175" t="b">
        <v>0</v>
      </c>
      <c r="AA21" s="175" t="b">
        <v>0</v>
      </c>
      <c r="AB21" s="175" t="b">
        <v>0</v>
      </c>
      <c r="AC21" s="175" t="b">
        <v>0</v>
      </c>
      <c r="AD21" s="175" t="b">
        <v>0</v>
      </c>
      <c r="AE21" s="176" t="b">
        <v>0</v>
      </c>
      <c r="AF21" s="176" t="b">
        <v>0</v>
      </c>
      <c r="AG21" s="176" t="b">
        <v>0</v>
      </c>
      <c r="AH21" s="149"/>
      <c r="AI21" s="167"/>
      <c r="AJ21" s="160">
        <v>0.0</v>
      </c>
      <c r="AK21" s="169" t="str">
        <f>IFERROR(__xludf.DUMMYFUNCTION("iferror(SPARKLINE(AJ21/AI21,{""charttype"",""bar"";""max"",1;""color1"",""#c9e4b2""}))"),"")</f>
        <v/>
      </c>
      <c r="AL21" s="46"/>
      <c r="AM21" s="47"/>
      <c r="AN21" s="170"/>
    </row>
    <row r="22" ht="17.25" customHeight="1">
      <c r="A22" s="121"/>
      <c r="B22" s="121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49"/>
      <c r="AK22" s="149"/>
      <c r="AL22" s="149"/>
      <c r="AM22" s="149"/>
      <c r="AN22" s="149"/>
    </row>
    <row r="23" ht="17.25" customHeight="1">
      <c r="A23" s="121"/>
      <c r="B23" s="219" t="s">
        <v>26</v>
      </c>
      <c r="C23" s="178">
        <f t="shared" ref="C23:AG23" si="1">COUNTIF(C10:C21, TRUE)/COUNTA(C10:C21)</f>
        <v>0</v>
      </c>
      <c r="D23" s="178">
        <f t="shared" si="1"/>
        <v>0</v>
      </c>
      <c r="E23" s="178">
        <f t="shared" si="1"/>
        <v>0</v>
      </c>
      <c r="F23" s="178">
        <f t="shared" si="1"/>
        <v>0</v>
      </c>
      <c r="G23" s="178">
        <f t="shared" si="1"/>
        <v>0</v>
      </c>
      <c r="H23" s="178">
        <f t="shared" si="1"/>
        <v>0</v>
      </c>
      <c r="I23" s="178">
        <f t="shared" si="1"/>
        <v>0</v>
      </c>
      <c r="J23" s="178">
        <f t="shared" si="1"/>
        <v>0</v>
      </c>
      <c r="K23" s="178">
        <f t="shared" si="1"/>
        <v>0</v>
      </c>
      <c r="L23" s="178">
        <f t="shared" si="1"/>
        <v>0</v>
      </c>
      <c r="M23" s="178">
        <f t="shared" si="1"/>
        <v>0</v>
      </c>
      <c r="N23" s="178">
        <f t="shared" si="1"/>
        <v>0</v>
      </c>
      <c r="O23" s="178">
        <f t="shared" si="1"/>
        <v>0</v>
      </c>
      <c r="P23" s="178">
        <f t="shared" si="1"/>
        <v>0</v>
      </c>
      <c r="Q23" s="178">
        <f t="shared" si="1"/>
        <v>0</v>
      </c>
      <c r="R23" s="178">
        <f t="shared" si="1"/>
        <v>0</v>
      </c>
      <c r="S23" s="178">
        <f t="shared" si="1"/>
        <v>0</v>
      </c>
      <c r="T23" s="178">
        <f t="shared" si="1"/>
        <v>0</v>
      </c>
      <c r="U23" s="178">
        <f t="shared" si="1"/>
        <v>0</v>
      </c>
      <c r="V23" s="178">
        <f t="shared" si="1"/>
        <v>0</v>
      </c>
      <c r="W23" s="178">
        <f t="shared" si="1"/>
        <v>0</v>
      </c>
      <c r="X23" s="178">
        <f t="shared" si="1"/>
        <v>0</v>
      </c>
      <c r="Y23" s="178">
        <f t="shared" si="1"/>
        <v>0</v>
      </c>
      <c r="Z23" s="178">
        <f t="shared" si="1"/>
        <v>0</v>
      </c>
      <c r="AA23" s="178">
        <f t="shared" si="1"/>
        <v>0</v>
      </c>
      <c r="AB23" s="178">
        <f t="shared" si="1"/>
        <v>0</v>
      </c>
      <c r="AC23" s="178">
        <f t="shared" si="1"/>
        <v>0</v>
      </c>
      <c r="AD23" s="178">
        <f t="shared" si="1"/>
        <v>0</v>
      </c>
      <c r="AE23" s="178">
        <f t="shared" si="1"/>
        <v>0</v>
      </c>
      <c r="AF23" s="178">
        <f t="shared" si="1"/>
        <v>0</v>
      </c>
      <c r="AG23" s="178">
        <f t="shared" si="1"/>
        <v>0</v>
      </c>
      <c r="AH23" s="149"/>
      <c r="AI23" s="179"/>
      <c r="AJ23" s="180"/>
      <c r="AK23" s="149"/>
      <c r="AL23" s="149"/>
      <c r="AM23" s="149"/>
      <c r="AN23" s="149"/>
    </row>
    <row r="24" ht="17.25" customHeight="1">
      <c r="A24" s="121"/>
      <c r="B24" s="219" t="s">
        <v>51</v>
      </c>
      <c r="C24" s="181">
        <f t="shared" ref="C24:AG24" si="2">COUNTIF(C10:C21, true)</f>
        <v>0</v>
      </c>
      <c r="D24" s="181">
        <f t="shared" si="2"/>
        <v>0</v>
      </c>
      <c r="E24" s="181">
        <f t="shared" si="2"/>
        <v>0</v>
      </c>
      <c r="F24" s="181">
        <f t="shared" si="2"/>
        <v>0</v>
      </c>
      <c r="G24" s="181">
        <f t="shared" si="2"/>
        <v>0</v>
      </c>
      <c r="H24" s="181">
        <f t="shared" si="2"/>
        <v>0</v>
      </c>
      <c r="I24" s="181">
        <f t="shared" si="2"/>
        <v>0</v>
      </c>
      <c r="J24" s="181">
        <f t="shared" si="2"/>
        <v>0</v>
      </c>
      <c r="K24" s="181">
        <f t="shared" si="2"/>
        <v>0</v>
      </c>
      <c r="L24" s="181">
        <f t="shared" si="2"/>
        <v>0</v>
      </c>
      <c r="M24" s="181">
        <f t="shared" si="2"/>
        <v>0</v>
      </c>
      <c r="N24" s="181">
        <f t="shared" si="2"/>
        <v>0</v>
      </c>
      <c r="O24" s="181">
        <f t="shared" si="2"/>
        <v>0</v>
      </c>
      <c r="P24" s="181">
        <f t="shared" si="2"/>
        <v>0</v>
      </c>
      <c r="Q24" s="181">
        <f t="shared" si="2"/>
        <v>0</v>
      </c>
      <c r="R24" s="181">
        <f t="shared" si="2"/>
        <v>0</v>
      </c>
      <c r="S24" s="181">
        <f t="shared" si="2"/>
        <v>0</v>
      </c>
      <c r="T24" s="181">
        <f t="shared" si="2"/>
        <v>0</v>
      </c>
      <c r="U24" s="181">
        <f t="shared" si="2"/>
        <v>0</v>
      </c>
      <c r="V24" s="181">
        <f t="shared" si="2"/>
        <v>0</v>
      </c>
      <c r="W24" s="181">
        <f t="shared" si="2"/>
        <v>0</v>
      </c>
      <c r="X24" s="181">
        <f t="shared" si="2"/>
        <v>0</v>
      </c>
      <c r="Y24" s="181">
        <f t="shared" si="2"/>
        <v>0</v>
      </c>
      <c r="Z24" s="181">
        <f t="shared" si="2"/>
        <v>0</v>
      </c>
      <c r="AA24" s="181">
        <f t="shared" si="2"/>
        <v>0</v>
      </c>
      <c r="AB24" s="181">
        <f t="shared" si="2"/>
        <v>0</v>
      </c>
      <c r="AC24" s="181">
        <f t="shared" si="2"/>
        <v>0</v>
      </c>
      <c r="AD24" s="181">
        <f t="shared" si="2"/>
        <v>0</v>
      </c>
      <c r="AE24" s="181">
        <f t="shared" si="2"/>
        <v>0</v>
      </c>
      <c r="AF24" s="181">
        <f t="shared" si="2"/>
        <v>0</v>
      </c>
      <c r="AG24" s="181">
        <f t="shared" si="2"/>
        <v>0</v>
      </c>
      <c r="AH24" s="149"/>
      <c r="AI24" s="179"/>
      <c r="AJ24" s="180"/>
      <c r="AK24" s="149"/>
      <c r="AL24" s="149"/>
      <c r="AM24" s="149"/>
      <c r="AN24" s="149"/>
    </row>
    <row r="25" ht="17.25" customHeight="1">
      <c r="A25" s="121"/>
      <c r="B25" s="219" t="s">
        <v>52</v>
      </c>
      <c r="C25" s="182">
        <f t="shared" ref="C25:AG25" si="3">COUNTIF(C10:C21, false)</f>
        <v>12</v>
      </c>
      <c r="D25" s="182">
        <f t="shared" si="3"/>
        <v>12</v>
      </c>
      <c r="E25" s="182">
        <f t="shared" si="3"/>
        <v>12</v>
      </c>
      <c r="F25" s="182">
        <f t="shared" si="3"/>
        <v>12</v>
      </c>
      <c r="G25" s="182">
        <f t="shared" si="3"/>
        <v>12</v>
      </c>
      <c r="H25" s="182">
        <f t="shared" si="3"/>
        <v>12</v>
      </c>
      <c r="I25" s="182">
        <f t="shared" si="3"/>
        <v>12</v>
      </c>
      <c r="J25" s="182">
        <f t="shared" si="3"/>
        <v>12</v>
      </c>
      <c r="K25" s="182">
        <f t="shared" si="3"/>
        <v>12</v>
      </c>
      <c r="L25" s="182">
        <f t="shared" si="3"/>
        <v>12</v>
      </c>
      <c r="M25" s="182">
        <f t="shared" si="3"/>
        <v>12</v>
      </c>
      <c r="N25" s="182">
        <f t="shared" si="3"/>
        <v>12</v>
      </c>
      <c r="O25" s="182">
        <f t="shared" si="3"/>
        <v>12</v>
      </c>
      <c r="P25" s="182">
        <f t="shared" si="3"/>
        <v>12</v>
      </c>
      <c r="Q25" s="182">
        <f t="shared" si="3"/>
        <v>12</v>
      </c>
      <c r="R25" s="182">
        <f t="shared" si="3"/>
        <v>12</v>
      </c>
      <c r="S25" s="182">
        <f t="shared" si="3"/>
        <v>12</v>
      </c>
      <c r="T25" s="182">
        <f t="shared" si="3"/>
        <v>12</v>
      </c>
      <c r="U25" s="182">
        <f t="shared" si="3"/>
        <v>12</v>
      </c>
      <c r="V25" s="182">
        <f t="shared" si="3"/>
        <v>12</v>
      </c>
      <c r="W25" s="182">
        <f t="shared" si="3"/>
        <v>12</v>
      </c>
      <c r="X25" s="182">
        <f t="shared" si="3"/>
        <v>12</v>
      </c>
      <c r="Y25" s="182">
        <f t="shared" si="3"/>
        <v>12</v>
      </c>
      <c r="Z25" s="182">
        <f t="shared" si="3"/>
        <v>12</v>
      </c>
      <c r="AA25" s="182">
        <f t="shared" si="3"/>
        <v>12</v>
      </c>
      <c r="AB25" s="182">
        <f t="shared" si="3"/>
        <v>12</v>
      </c>
      <c r="AC25" s="182">
        <f t="shared" si="3"/>
        <v>12</v>
      </c>
      <c r="AD25" s="182">
        <f t="shared" si="3"/>
        <v>12</v>
      </c>
      <c r="AE25" s="182">
        <f t="shared" si="3"/>
        <v>12</v>
      </c>
      <c r="AF25" s="182">
        <f t="shared" si="3"/>
        <v>12</v>
      </c>
      <c r="AG25" s="182">
        <f t="shared" si="3"/>
        <v>12</v>
      </c>
      <c r="AH25" s="149"/>
      <c r="AI25" s="179"/>
      <c r="AJ25" s="180"/>
      <c r="AK25" s="149"/>
      <c r="AL25" s="149"/>
      <c r="AM25" s="149"/>
      <c r="AN25" s="149"/>
    </row>
    <row r="26" ht="17.25" customHeight="1">
      <c r="A26" s="121"/>
      <c r="B26" s="121"/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  <c r="AA26" s="149"/>
      <c r="AB26" s="149"/>
      <c r="AC26" s="149"/>
      <c r="AD26" s="149"/>
      <c r="AE26" s="149"/>
      <c r="AF26" s="149"/>
      <c r="AG26" s="149"/>
      <c r="AH26" s="149"/>
      <c r="AI26" s="179"/>
      <c r="AJ26" s="180"/>
      <c r="AK26" s="149"/>
      <c r="AL26" s="149"/>
      <c r="AM26" s="149"/>
      <c r="AN26" s="149"/>
    </row>
    <row r="27" ht="17.25" customHeight="1">
      <c r="A27" s="121"/>
      <c r="B27" s="121"/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  <c r="AA27" s="149"/>
      <c r="AB27" s="149"/>
      <c r="AC27" s="149"/>
      <c r="AD27" s="149"/>
      <c r="AE27" s="149"/>
      <c r="AF27" s="149"/>
      <c r="AG27" s="149"/>
      <c r="AH27" s="149"/>
      <c r="AI27" s="179"/>
      <c r="AJ27" s="180"/>
      <c r="AK27" s="149"/>
      <c r="AL27" s="149"/>
      <c r="AM27" s="149"/>
      <c r="AN27" s="149"/>
    </row>
    <row r="28" ht="17.25" customHeight="1">
      <c r="A28" s="121"/>
      <c r="B28" s="121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  <c r="AB28" s="149"/>
      <c r="AC28" s="149"/>
      <c r="AD28" s="149"/>
      <c r="AE28" s="149"/>
      <c r="AF28" s="149"/>
      <c r="AG28" s="149"/>
      <c r="AH28" s="149"/>
      <c r="AI28" s="179"/>
      <c r="AJ28" s="180"/>
      <c r="AK28" s="149"/>
      <c r="AL28" s="149"/>
      <c r="AM28" s="149"/>
      <c r="AN28" s="149"/>
    </row>
    <row r="29" ht="17.25" customHeight="1">
      <c r="A29" s="121"/>
      <c r="B29" s="121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79"/>
      <c r="AJ29" s="180"/>
      <c r="AK29" s="149"/>
      <c r="AL29" s="149"/>
      <c r="AM29" s="149"/>
      <c r="AN29" s="149"/>
    </row>
    <row r="30" ht="17.25" customHeight="1">
      <c r="A30" s="121"/>
      <c r="B30" s="121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49"/>
      <c r="AE30" s="149"/>
      <c r="AF30" s="149"/>
      <c r="AG30" s="149"/>
      <c r="AH30" s="149"/>
      <c r="AI30" s="179"/>
      <c r="AJ30" s="180"/>
      <c r="AK30" s="149"/>
      <c r="AL30" s="149"/>
      <c r="AM30" s="149"/>
      <c r="AN30" s="149"/>
    </row>
    <row r="31" ht="17.25" customHeight="1">
      <c r="A31" s="121"/>
      <c r="B31" s="121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  <c r="AI31" s="179"/>
      <c r="AJ31" s="180"/>
      <c r="AK31" s="149"/>
      <c r="AL31" s="149"/>
      <c r="AM31" s="149"/>
      <c r="AN31" s="149"/>
    </row>
    <row r="32" ht="17.25" customHeight="1">
      <c r="A32" s="121"/>
      <c r="B32" s="121"/>
      <c r="C32" s="149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79"/>
      <c r="AJ32" s="180"/>
      <c r="AK32" s="149"/>
      <c r="AL32" s="149"/>
      <c r="AM32" s="149"/>
      <c r="AN32" s="149"/>
    </row>
    <row r="33" ht="17.25" customHeight="1">
      <c r="A33" s="121"/>
      <c r="B33" s="121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149"/>
      <c r="AG33" s="149"/>
      <c r="AH33" s="149"/>
      <c r="AI33" s="179"/>
      <c r="AJ33" s="180"/>
      <c r="AK33" s="149"/>
      <c r="AL33" s="149"/>
      <c r="AM33" s="149"/>
      <c r="AN33" s="149"/>
    </row>
    <row r="34" ht="17.25" customHeight="1">
      <c r="A34" s="121"/>
      <c r="B34" s="121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  <c r="AC34" s="149"/>
      <c r="AD34" s="149"/>
      <c r="AE34" s="149"/>
      <c r="AF34" s="149"/>
      <c r="AG34" s="149"/>
      <c r="AH34" s="149"/>
      <c r="AI34" s="179"/>
      <c r="AJ34" s="180"/>
      <c r="AK34" s="149"/>
      <c r="AL34" s="149"/>
      <c r="AM34" s="149"/>
      <c r="AN34" s="149"/>
    </row>
    <row r="35" ht="17.25" customHeight="1">
      <c r="A35" s="121"/>
      <c r="B35" s="121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149"/>
      <c r="AE35" s="149"/>
      <c r="AF35" s="149"/>
      <c r="AG35" s="149"/>
      <c r="AH35" s="149"/>
      <c r="AI35" s="183"/>
      <c r="AJ35" s="183"/>
      <c r="AK35" s="149"/>
      <c r="AL35" s="149"/>
      <c r="AM35" s="149"/>
      <c r="AN35" s="149"/>
    </row>
    <row r="36" ht="17.25" customHeight="1">
      <c r="A36" s="121"/>
      <c r="B36" s="184" t="s">
        <v>64</v>
      </c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7"/>
      <c r="AH36" s="149"/>
      <c r="AI36" s="184" t="s">
        <v>54</v>
      </c>
      <c r="AJ36" s="46"/>
      <c r="AK36" s="46"/>
      <c r="AL36" s="46"/>
      <c r="AM36" s="47"/>
      <c r="AN36" s="149"/>
    </row>
    <row r="37" ht="17.25" customHeight="1">
      <c r="A37" s="121"/>
      <c r="B37" s="185" t="s">
        <v>55</v>
      </c>
      <c r="C37" s="186"/>
      <c r="D37" s="186"/>
      <c r="E37" s="186"/>
      <c r="F37" s="186"/>
      <c r="G37" s="186"/>
      <c r="H37" s="186"/>
      <c r="I37" s="186"/>
      <c r="J37" s="186"/>
      <c r="K37" s="186"/>
      <c r="L37" s="186"/>
      <c r="M37" s="186"/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  <c r="AA37" s="186"/>
      <c r="AB37" s="186"/>
      <c r="AC37" s="186"/>
      <c r="AD37" s="186"/>
      <c r="AE37" s="186"/>
      <c r="AF37" s="186"/>
      <c r="AG37" s="186"/>
      <c r="AH37" s="149"/>
      <c r="AI37" s="187" t="str">
        <f t="shared" ref="AI37:AI39" si="4">iferror(Average(C37:AG37), "")</f>
        <v/>
      </c>
      <c r="AJ37" s="46"/>
      <c r="AK37" s="46"/>
      <c r="AL37" s="46"/>
      <c r="AM37" s="47"/>
      <c r="AN37" s="149"/>
    </row>
    <row r="38" ht="17.25" customHeight="1">
      <c r="A38" s="121"/>
      <c r="B38" s="185" t="s">
        <v>56</v>
      </c>
      <c r="C38" s="188"/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88"/>
      <c r="P38" s="188"/>
      <c r="Q38" s="188"/>
      <c r="R38" s="188"/>
      <c r="S38" s="188"/>
      <c r="T38" s="188"/>
      <c r="U38" s="188"/>
      <c r="V38" s="188"/>
      <c r="W38" s="188"/>
      <c r="X38" s="188"/>
      <c r="Y38" s="188"/>
      <c r="Z38" s="188"/>
      <c r="AA38" s="188"/>
      <c r="AB38" s="188"/>
      <c r="AC38" s="188"/>
      <c r="AD38" s="188"/>
      <c r="AE38" s="188"/>
      <c r="AF38" s="188"/>
      <c r="AG38" s="188"/>
      <c r="AH38" s="149"/>
      <c r="AI38" s="187" t="str">
        <f t="shared" si="4"/>
        <v/>
      </c>
      <c r="AJ38" s="46"/>
      <c r="AK38" s="46"/>
      <c r="AL38" s="46"/>
      <c r="AM38" s="47"/>
      <c r="AN38" s="149"/>
    </row>
    <row r="39" ht="17.25" customHeight="1">
      <c r="A39" s="121"/>
      <c r="B39" s="185" t="s">
        <v>63</v>
      </c>
      <c r="C39" s="189"/>
      <c r="D39" s="189"/>
      <c r="E39" s="189"/>
      <c r="F39" s="189"/>
      <c r="G39" s="189"/>
      <c r="H39" s="189"/>
      <c r="I39" s="189"/>
      <c r="J39" s="189"/>
      <c r="K39" s="189"/>
      <c r="L39" s="189"/>
      <c r="M39" s="189"/>
      <c r="N39" s="189"/>
      <c r="O39" s="189"/>
      <c r="P39" s="189"/>
      <c r="Q39" s="189"/>
      <c r="R39" s="189"/>
      <c r="S39" s="189"/>
      <c r="T39" s="189"/>
      <c r="U39" s="189"/>
      <c r="V39" s="189"/>
      <c r="W39" s="189"/>
      <c r="X39" s="189"/>
      <c r="Y39" s="189"/>
      <c r="Z39" s="189"/>
      <c r="AA39" s="189"/>
      <c r="AB39" s="189"/>
      <c r="AC39" s="189"/>
      <c r="AD39" s="189"/>
      <c r="AE39" s="189"/>
      <c r="AF39" s="189"/>
      <c r="AG39" s="189"/>
      <c r="AH39" s="149"/>
      <c r="AI39" s="187" t="str">
        <f t="shared" si="4"/>
        <v/>
      </c>
      <c r="AJ39" s="46"/>
      <c r="AK39" s="46"/>
      <c r="AL39" s="46"/>
      <c r="AM39" s="47"/>
      <c r="AN39" s="149"/>
    </row>
    <row r="40" ht="17.25" customHeight="1">
      <c r="A40" s="121"/>
      <c r="B40" s="121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  <c r="AK40" s="149"/>
      <c r="AL40" s="149"/>
      <c r="AM40" s="149"/>
      <c r="AN40" s="149"/>
    </row>
    <row r="41" ht="17.25" customHeight="1">
      <c r="A41" s="121"/>
      <c r="B41" s="121"/>
      <c r="C41" s="149"/>
      <c r="D41" s="149"/>
      <c r="E41" s="149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  <c r="AB41" s="149"/>
      <c r="AC41" s="149"/>
      <c r="AD41" s="149"/>
      <c r="AE41" s="149"/>
      <c r="AF41" s="149"/>
      <c r="AG41" s="149"/>
      <c r="AH41" s="149"/>
      <c r="AI41" s="149"/>
      <c r="AJ41" s="149"/>
      <c r="AK41" s="149"/>
      <c r="AL41" s="149"/>
      <c r="AM41" s="149"/>
      <c r="AN41" s="149"/>
    </row>
    <row r="42" ht="17.25" customHeight="1">
      <c r="A42" s="121"/>
      <c r="B42" s="136" t="s">
        <v>58</v>
      </c>
      <c r="C42" s="190" t="s">
        <v>44</v>
      </c>
      <c r="D42" s="46"/>
      <c r="E42" s="46"/>
      <c r="F42" s="46"/>
      <c r="G42" s="46"/>
      <c r="H42" s="47"/>
      <c r="I42" s="151"/>
      <c r="J42" s="191" t="s">
        <v>45</v>
      </c>
      <c r="K42" s="46"/>
      <c r="L42" s="46"/>
      <c r="M42" s="46"/>
      <c r="N42" s="46"/>
      <c r="O42" s="47"/>
      <c r="P42" s="152"/>
      <c r="Q42" s="192" t="s">
        <v>46</v>
      </c>
      <c r="R42" s="46"/>
      <c r="S42" s="46"/>
      <c r="T42" s="46"/>
      <c r="U42" s="46"/>
      <c r="V42" s="47"/>
      <c r="W42" s="154"/>
      <c r="X42" s="193" t="s">
        <v>47</v>
      </c>
      <c r="Y42" s="46"/>
      <c r="Z42" s="46"/>
      <c r="AA42" s="46"/>
      <c r="AB42" s="46"/>
      <c r="AC42" s="47"/>
      <c r="AD42" s="153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</row>
    <row r="43" ht="17.25" customHeight="1">
      <c r="A43" s="121"/>
      <c r="B43" s="86"/>
      <c r="C43" s="194"/>
      <c r="D43" s="46"/>
      <c r="E43" s="46"/>
      <c r="F43" s="46"/>
      <c r="G43" s="46"/>
      <c r="H43" s="47"/>
      <c r="I43" s="195" t="b">
        <v>0</v>
      </c>
      <c r="J43" s="196"/>
      <c r="K43" s="46"/>
      <c r="L43" s="46"/>
      <c r="M43" s="46"/>
      <c r="N43" s="46"/>
      <c r="O43" s="47"/>
      <c r="P43" s="197" t="b">
        <v>0</v>
      </c>
      <c r="Q43" s="198"/>
      <c r="R43" s="46"/>
      <c r="S43" s="46"/>
      <c r="T43" s="46"/>
      <c r="U43" s="46"/>
      <c r="V43" s="47"/>
      <c r="W43" s="199" t="b">
        <v>0</v>
      </c>
      <c r="X43" s="200"/>
      <c r="Y43" s="46"/>
      <c r="Z43" s="46"/>
      <c r="AA43" s="46"/>
      <c r="AB43" s="46"/>
      <c r="AC43" s="47"/>
      <c r="AD43" s="201" t="b">
        <v>0</v>
      </c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</row>
    <row r="44" ht="17.25" customHeight="1">
      <c r="A44" s="121"/>
      <c r="B44" s="121"/>
      <c r="C44" s="194"/>
      <c r="D44" s="46"/>
      <c r="E44" s="46"/>
      <c r="F44" s="46"/>
      <c r="G44" s="46"/>
      <c r="H44" s="47"/>
      <c r="I44" s="195" t="b">
        <v>0</v>
      </c>
      <c r="J44" s="196"/>
      <c r="K44" s="46"/>
      <c r="L44" s="46"/>
      <c r="M44" s="46"/>
      <c r="N44" s="46"/>
      <c r="O44" s="47"/>
      <c r="P44" s="197" t="b">
        <v>0</v>
      </c>
      <c r="Q44" s="198"/>
      <c r="R44" s="46"/>
      <c r="S44" s="46"/>
      <c r="T44" s="46"/>
      <c r="U44" s="46"/>
      <c r="V44" s="47"/>
      <c r="W44" s="199" t="b">
        <v>0</v>
      </c>
      <c r="X44" s="200"/>
      <c r="Y44" s="46"/>
      <c r="Z44" s="46"/>
      <c r="AA44" s="46"/>
      <c r="AB44" s="46"/>
      <c r="AC44" s="47"/>
      <c r="AD44" s="201" t="b">
        <v>0</v>
      </c>
      <c r="AE44" s="121"/>
      <c r="AF44" s="121"/>
      <c r="AG44" s="202" t="s">
        <v>59</v>
      </c>
      <c r="AH44" s="121"/>
      <c r="AI44" s="121"/>
      <c r="AJ44" s="121"/>
      <c r="AK44" s="121"/>
      <c r="AL44" s="121"/>
      <c r="AM44" s="121"/>
      <c r="AN44" s="121"/>
    </row>
    <row r="45" ht="17.25" customHeight="1">
      <c r="A45" s="121"/>
      <c r="B45" s="121"/>
      <c r="C45" s="194"/>
      <c r="D45" s="46"/>
      <c r="E45" s="46"/>
      <c r="F45" s="46"/>
      <c r="G45" s="46"/>
      <c r="H45" s="47"/>
      <c r="I45" s="195" t="b">
        <v>0</v>
      </c>
      <c r="J45" s="196"/>
      <c r="K45" s="46"/>
      <c r="L45" s="46"/>
      <c r="M45" s="46"/>
      <c r="N45" s="46"/>
      <c r="O45" s="47"/>
      <c r="P45" s="197" t="b">
        <v>0</v>
      </c>
      <c r="Q45" s="198"/>
      <c r="R45" s="46"/>
      <c r="S45" s="46"/>
      <c r="T45" s="46"/>
      <c r="U45" s="46"/>
      <c r="V45" s="47"/>
      <c r="W45" s="199" t="b">
        <v>0</v>
      </c>
      <c r="X45" s="200"/>
      <c r="Y45" s="46"/>
      <c r="Z45" s="46"/>
      <c r="AA45" s="46"/>
      <c r="AB45" s="46"/>
      <c r="AC45" s="47"/>
      <c r="AD45" s="201" t="b">
        <v>0</v>
      </c>
      <c r="AE45" s="121"/>
      <c r="AF45" s="121"/>
      <c r="AG45" s="203">
        <v>3.0</v>
      </c>
      <c r="AH45" s="120"/>
      <c r="AI45" s="120"/>
      <c r="AJ45" s="120"/>
      <c r="AK45" s="120"/>
      <c r="AL45" s="120"/>
      <c r="AM45" s="120"/>
      <c r="AN45" s="120"/>
    </row>
    <row r="46" ht="17.25" customHeight="1">
      <c r="A46" s="121"/>
      <c r="B46" s="121"/>
      <c r="C46" s="194"/>
      <c r="D46" s="46"/>
      <c r="E46" s="46"/>
      <c r="F46" s="46"/>
      <c r="G46" s="46"/>
      <c r="H46" s="47"/>
      <c r="I46" s="195" t="b">
        <v>0</v>
      </c>
      <c r="J46" s="196"/>
      <c r="K46" s="46"/>
      <c r="L46" s="46"/>
      <c r="M46" s="46"/>
      <c r="N46" s="46"/>
      <c r="O46" s="47"/>
      <c r="P46" s="197" t="b">
        <v>0</v>
      </c>
      <c r="Q46" s="198"/>
      <c r="R46" s="46"/>
      <c r="S46" s="46"/>
      <c r="T46" s="46"/>
      <c r="U46" s="46"/>
      <c r="V46" s="47"/>
      <c r="W46" s="199" t="b">
        <v>0</v>
      </c>
      <c r="X46" s="200"/>
      <c r="Y46" s="46"/>
      <c r="Z46" s="46"/>
      <c r="AA46" s="46"/>
      <c r="AB46" s="46"/>
      <c r="AC46" s="47"/>
      <c r="AD46" s="201" t="b">
        <v>0</v>
      </c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</row>
    <row r="47" ht="17.25" customHeight="1">
      <c r="A47" s="121"/>
      <c r="B47" s="121"/>
      <c r="C47" s="194"/>
      <c r="D47" s="46"/>
      <c r="E47" s="46"/>
      <c r="F47" s="46"/>
      <c r="G47" s="46"/>
      <c r="H47" s="47"/>
      <c r="I47" s="195" t="b">
        <v>0</v>
      </c>
      <c r="J47" s="196"/>
      <c r="K47" s="46"/>
      <c r="L47" s="46"/>
      <c r="M47" s="46"/>
      <c r="N47" s="46"/>
      <c r="O47" s="47"/>
      <c r="P47" s="197" t="b">
        <v>0</v>
      </c>
      <c r="Q47" s="198"/>
      <c r="R47" s="46"/>
      <c r="S47" s="46"/>
      <c r="T47" s="46"/>
      <c r="U47" s="46"/>
      <c r="V47" s="47"/>
      <c r="W47" s="199" t="b">
        <v>0</v>
      </c>
      <c r="X47" s="200"/>
      <c r="Y47" s="46"/>
      <c r="Z47" s="46"/>
      <c r="AA47" s="46"/>
      <c r="AB47" s="46"/>
      <c r="AC47" s="47"/>
      <c r="AD47" s="201" t="b">
        <v>0</v>
      </c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</row>
    <row r="48" ht="17.25" customHeight="1">
      <c r="A48" s="121"/>
      <c r="B48" s="121"/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</row>
    <row r="49" ht="17.25" customHeight="1">
      <c r="A49" s="121"/>
      <c r="B49" s="136" t="s">
        <v>60</v>
      </c>
      <c r="C49" s="204"/>
      <c r="D49" s="50"/>
      <c r="E49" s="50"/>
      <c r="F49" s="50"/>
      <c r="G49" s="50"/>
      <c r="H49" s="50"/>
      <c r="I49" s="51"/>
      <c r="J49" s="204"/>
      <c r="K49" s="50"/>
      <c r="L49" s="50"/>
      <c r="M49" s="50"/>
      <c r="N49" s="50"/>
      <c r="O49" s="50"/>
      <c r="P49" s="51"/>
      <c r="Q49" s="204"/>
      <c r="R49" s="50"/>
      <c r="S49" s="50"/>
      <c r="T49" s="50"/>
      <c r="U49" s="50"/>
      <c r="V49" s="50"/>
      <c r="W49" s="51"/>
      <c r="X49" s="204"/>
      <c r="Y49" s="50"/>
      <c r="Z49" s="50"/>
      <c r="AA49" s="50"/>
      <c r="AB49" s="50"/>
      <c r="AC49" s="50"/>
      <c r="AD49" s="5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</row>
    <row r="50" ht="17.25" customHeight="1">
      <c r="A50" s="121"/>
      <c r="B50" s="205"/>
      <c r="C50" s="206"/>
      <c r="D50" s="55"/>
      <c r="E50" s="55"/>
      <c r="F50" s="55"/>
      <c r="G50" s="55"/>
      <c r="H50" s="55"/>
      <c r="I50" s="56"/>
      <c r="J50" s="206"/>
      <c r="K50" s="55"/>
      <c r="L50" s="55"/>
      <c r="M50" s="55"/>
      <c r="N50" s="55"/>
      <c r="O50" s="55"/>
      <c r="P50" s="56"/>
      <c r="Q50" s="206"/>
      <c r="R50" s="55"/>
      <c r="S50" s="55"/>
      <c r="T50" s="55"/>
      <c r="U50" s="55"/>
      <c r="V50" s="55"/>
      <c r="W50" s="56"/>
      <c r="X50" s="206"/>
      <c r="Y50" s="55"/>
      <c r="Z50" s="55"/>
      <c r="AA50" s="55"/>
      <c r="AB50" s="55"/>
      <c r="AC50" s="55"/>
      <c r="AD50" s="56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</row>
    <row r="51" ht="17.25" customHeight="1">
      <c r="A51" s="121"/>
      <c r="B51" s="86"/>
      <c r="C51" s="207"/>
      <c r="D51" s="60"/>
      <c r="E51" s="60"/>
      <c r="F51" s="60"/>
      <c r="G51" s="60"/>
      <c r="H51" s="60"/>
      <c r="I51" s="61"/>
      <c r="J51" s="207"/>
      <c r="K51" s="60"/>
      <c r="L51" s="60"/>
      <c r="M51" s="60"/>
      <c r="N51" s="60"/>
      <c r="O51" s="60"/>
      <c r="P51" s="61"/>
      <c r="Q51" s="207"/>
      <c r="R51" s="60"/>
      <c r="S51" s="60"/>
      <c r="T51" s="60"/>
      <c r="U51" s="60"/>
      <c r="V51" s="60"/>
      <c r="W51" s="61"/>
      <c r="X51" s="207"/>
      <c r="Y51" s="60"/>
      <c r="Z51" s="60"/>
      <c r="AA51" s="60"/>
      <c r="AB51" s="60"/>
      <c r="AC51" s="60"/>
      <c r="AD51" s="6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</row>
    <row r="52" ht="17.25" customHeight="1">
      <c r="A52" s="121"/>
      <c r="B52" s="121"/>
      <c r="C52" s="208"/>
      <c r="I52" s="170"/>
      <c r="J52" s="208"/>
      <c r="P52" s="170"/>
      <c r="Q52" s="208"/>
      <c r="W52" s="170"/>
      <c r="X52" s="208"/>
      <c r="AD52" s="170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</row>
    <row r="53" ht="17.25" customHeight="1">
      <c r="A53" s="121"/>
      <c r="B53" s="121"/>
      <c r="C53" s="121"/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</row>
    <row r="54" ht="17.25" customHeight="1">
      <c r="A54" s="121"/>
      <c r="B54" s="62" t="s">
        <v>61</v>
      </c>
      <c r="C54" s="209" t="s">
        <v>62</v>
      </c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7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</row>
    <row r="55" ht="17.25" customHeight="1">
      <c r="A55" s="121"/>
      <c r="B55" s="43"/>
      <c r="C55" s="210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7"/>
      <c r="P55" s="211" t="b">
        <v>0</v>
      </c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</row>
    <row r="56" ht="17.25" customHeight="1">
      <c r="A56" s="121"/>
      <c r="B56" s="212"/>
      <c r="C56" s="210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7"/>
      <c r="P56" s="211" t="b">
        <v>0</v>
      </c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</row>
    <row r="57" ht="17.25" customHeight="1">
      <c r="A57" s="121"/>
      <c r="B57" s="212"/>
      <c r="C57" s="210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7"/>
      <c r="P57" s="211" t="b">
        <v>0</v>
      </c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</row>
    <row r="58" ht="17.25" customHeight="1">
      <c r="A58" s="121"/>
      <c r="B58" s="212"/>
      <c r="C58" s="210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7"/>
      <c r="P58" s="211" t="b">
        <v>0</v>
      </c>
      <c r="Q58" s="121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  <c r="AL58" s="121"/>
      <c r="AM58" s="121"/>
      <c r="AN58" s="121"/>
    </row>
    <row r="59" ht="17.25" customHeight="1">
      <c r="A59" s="121"/>
      <c r="B59" s="212"/>
      <c r="C59" s="210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7"/>
      <c r="P59" s="211" t="b">
        <v>0</v>
      </c>
      <c r="Q59" s="121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1"/>
      <c r="AM59" s="121"/>
      <c r="AN59" s="121"/>
    </row>
    <row r="60" ht="17.25" customHeight="1">
      <c r="A60" s="121"/>
      <c r="B60" s="121"/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  <c r="AE60" s="121"/>
      <c r="AF60" s="121"/>
      <c r="AG60" s="121"/>
      <c r="AH60" s="121"/>
      <c r="AI60" s="121"/>
      <c r="AJ60" s="121"/>
      <c r="AK60" s="121"/>
      <c r="AL60" s="121"/>
      <c r="AM60" s="121"/>
      <c r="AN60" s="121"/>
    </row>
    <row r="61" ht="17.25" hidden="1" customHeight="1">
      <c r="A61" s="121"/>
      <c r="B61" s="121"/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1"/>
      <c r="AL61" s="121"/>
      <c r="AM61" s="121"/>
      <c r="AN61" s="121"/>
    </row>
    <row r="62" ht="17.25" hidden="1" customHeight="1">
      <c r="A62" s="121"/>
      <c r="B62" s="213">
        <f>COUNTIF($I$43:$I$47, true)</f>
        <v>0</v>
      </c>
      <c r="C62" s="214" t="str">
        <f t="array" ref="C62:H66">$C$43:$H$47</f>
        <v/>
      </c>
      <c r="D62" s="214"/>
      <c r="E62" s="214"/>
      <c r="F62" s="214"/>
      <c r="G62" s="214"/>
      <c r="H62" s="214"/>
      <c r="I62" s="213">
        <f t="array" ref="I62">COUNTA(UNIQUE($C$62:$C$140))</f>
        <v>0</v>
      </c>
      <c r="J62" s="215">
        <f>sum($B$62,$B$78,$B$110,$B$126)</f>
        <v>0</v>
      </c>
      <c r="K62" s="213">
        <f>sum(COUNTA($I$43:$I$47),COUNTA($P$43:$P$47),COUNTA($W$43:$W$47),COUNTA($AD$43:$AD$47),COUNTA($P$55:$P$59))</f>
        <v>25</v>
      </c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121"/>
      <c r="AK62" s="121"/>
      <c r="AL62" s="121"/>
      <c r="AM62" s="121"/>
      <c r="AN62" s="121"/>
    </row>
    <row r="63" ht="17.25" hidden="1" customHeight="1">
      <c r="A63" s="121"/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 s="121"/>
      <c r="AH63" s="121"/>
      <c r="AI63" s="121"/>
      <c r="AJ63" s="121"/>
      <c r="AK63" s="121"/>
      <c r="AL63" s="121"/>
      <c r="AM63" s="121"/>
      <c r="AN63" s="121"/>
    </row>
    <row r="64" ht="17.25" hidden="1" customHeight="1">
      <c r="A64" s="121"/>
      <c r="B64" s="214"/>
      <c r="C64" s="214"/>
      <c r="D64" s="214"/>
      <c r="E64" s="214"/>
      <c r="F64" s="214"/>
      <c r="G64" s="214"/>
      <c r="H64" s="214"/>
      <c r="I64" s="214"/>
      <c r="J64" s="214"/>
      <c r="K64" s="214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121"/>
      <c r="AK64" s="121"/>
      <c r="AL64" s="121"/>
      <c r="AM64" s="121"/>
      <c r="AN64" s="121"/>
    </row>
    <row r="65" ht="17.25" hidden="1" customHeight="1">
      <c r="A65" s="121"/>
      <c r="B65" s="214"/>
      <c r="C65" s="214"/>
      <c r="D65" s="214"/>
      <c r="E65" s="214"/>
      <c r="F65" s="214"/>
      <c r="G65" s="214"/>
      <c r="H65" s="214"/>
      <c r="I65" s="214"/>
      <c r="J65" s="214"/>
      <c r="K65" s="214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1"/>
      <c r="AI65" s="121"/>
      <c r="AJ65" s="121"/>
      <c r="AK65" s="121"/>
      <c r="AL65" s="121"/>
      <c r="AM65" s="121"/>
      <c r="AN65" s="121"/>
    </row>
    <row r="66" ht="17.25" hidden="1" customHeight="1">
      <c r="A66" s="121"/>
      <c r="B66" s="214"/>
      <c r="C66" s="214"/>
      <c r="D66" s="214"/>
      <c r="E66" s="214"/>
      <c r="F66" s="214"/>
      <c r="G66" s="214"/>
      <c r="H66" s="214"/>
      <c r="I66" s="214"/>
      <c r="J66" s="214"/>
      <c r="K66" s="214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  <c r="AA66" s="121"/>
      <c r="AB66" s="121"/>
      <c r="AC66" s="121"/>
      <c r="AD66" s="121"/>
      <c r="AE66" s="121"/>
      <c r="AF66" s="121"/>
      <c r="AG66" s="121"/>
      <c r="AH66" s="121"/>
      <c r="AI66" s="121"/>
      <c r="AJ66" s="121"/>
      <c r="AK66" s="121"/>
      <c r="AL66" s="121"/>
      <c r="AM66" s="121"/>
      <c r="AN66" s="121"/>
    </row>
    <row r="67" ht="17.25" hidden="1" customHeight="1">
      <c r="A67" s="121"/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1"/>
      <c r="AJ67" s="121"/>
      <c r="AK67" s="121"/>
      <c r="AL67" s="121"/>
      <c r="AM67" s="121"/>
      <c r="AN67" s="121"/>
    </row>
    <row r="68" ht="17.25" hidden="1" customHeight="1">
      <c r="A68" s="121"/>
      <c r="B68" s="214"/>
      <c r="C68" s="214"/>
      <c r="D68" s="214"/>
      <c r="E68" s="214"/>
      <c r="F68" s="214"/>
      <c r="G68" s="214"/>
      <c r="H68" s="214"/>
      <c r="I68" s="214"/>
      <c r="J68" s="214"/>
      <c r="K68" s="214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  <c r="AA68" s="121"/>
      <c r="AB68" s="121"/>
      <c r="AC68" s="121"/>
      <c r="AD68" s="121"/>
      <c r="AE68" s="121"/>
      <c r="AF68" s="121"/>
      <c r="AG68" s="121"/>
      <c r="AH68" s="121"/>
      <c r="AI68" s="121"/>
      <c r="AJ68" s="121"/>
      <c r="AK68" s="121"/>
      <c r="AL68" s="121"/>
      <c r="AM68" s="121"/>
      <c r="AN68" s="121"/>
    </row>
    <row r="69" ht="17.25" hidden="1" customHeight="1">
      <c r="A69" s="121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  <c r="AC69" s="121"/>
      <c r="AD69" s="121"/>
      <c r="AE69" s="121"/>
      <c r="AF69" s="121"/>
      <c r="AG69" s="121"/>
      <c r="AH69" s="121"/>
      <c r="AI69" s="121"/>
      <c r="AJ69" s="121"/>
      <c r="AK69" s="121"/>
      <c r="AL69" s="121"/>
      <c r="AM69" s="121"/>
      <c r="AN69" s="121"/>
    </row>
    <row r="70" ht="17.25" hidden="1" customHeight="1">
      <c r="A70" s="121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  <c r="AC70" s="121"/>
      <c r="AD70" s="121"/>
      <c r="AE70" s="121"/>
      <c r="AF70" s="121"/>
      <c r="AG70" s="121"/>
      <c r="AH70" s="121"/>
      <c r="AI70" s="121"/>
      <c r="AJ70" s="121"/>
      <c r="AK70" s="121"/>
      <c r="AL70" s="121"/>
      <c r="AM70" s="121"/>
      <c r="AN70" s="121"/>
    </row>
    <row r="71" ht="17.25" hidden="1" customHeight="1">
      <c r="A71" s="121"/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  <c r="AD71" s="121"/>
      <c r="AE71" s="121"/>
      <c r="AF71" s="121"/>
      <c r="AG71" s="121"/>
      <c r="AH71" s="121"/>
      <c r="AI71" s="121"/>
      <c r="AJ71" s="121"/>
      <c r="AK71" s="121"/>
      <c r="AL71" s="121"/>
      <c r="AM71" s="121"/>
      <c r="AN71" s="121"/>
    </row>
    <row r="72" ht="17.25" hidden="1" customHeight="1">
      <c r="A72" s="121"/>
      <c r="B72" s="214"/>
      <c r="C72" s="214"/>
      <c r="D72" s="214"/>
      <c r="E72" s="214"/>
      <c r="F72" s="214"/>
      <c r="G72" s="214"/>
      <c r="H72" s="214"/>
      <c r="I72" s="214"/>
      <c r="J72" s="214"/>
      <c r="K72" s="214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  <c r="AD72" s="121"/>
      <c r="AE72" s="121"/>
      <c r="AF72" s="121"/>
      <c r="AG72" s="121"/>
      <c r="AH72" s="121"/>
      <c r="AI72" s="121"/>
      <c r="AJ72" s="121"/>
      <c r="AK72" s="121"/>
      <c r="AL72" s="121"/>
      <c r="AM72" s="121"/>
      <c r="AN72" s="121"/>
    </row>
    <row r="73" ht="17.25" hidden="1" customHeight="1">
      <c r="A73" s="121"/>
      <c r="B73" s="214"/>
      <c r="C73" s="214"/>
      <c r="D73" s="214"/>
      <c r="E73" s="214"/>
      <c r="F73" s="214"/>
      <c r="G73" s="214"/>
      <c r="H73" s="214"/>
      <c r="I73" s="214"/>
      <c r="J73" s="214"/>
      <c r="K73" s="214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  <c r="AA73" s="121"/>
      <c r="AB73" s="121"/>
      <c r="AC73" s="121"/>
      <c r="AD73" s="121"/>
      <c r="AE73" s="121"/>
      <c r="AF73" s="121"/>
      <c r="AG73" s="121"/>
      <c r="AH73" s="121"/>
      <c r="AI73" s="121"/>
      <c r="AJ73" s="121"/>
      <c r="AK73" s="121"/>
      <c r="AL73" s="121"/>
      <c r="AM73" s="121"/>
      <c r="AN73" s="121"/>
    </row>
    <row r="74" ht="17.25" hidden="1" customHeight="1">
      <c r="A74" s="121"/>
      <c r="B74" s="214"/>
      <c r="C74" s="214"/>
      <c r="D74" s="214"/>
      <c r="E74" s="214"/>
      <c r="F74" s="214"/>
      <c r="G74" s="214"/>
      <c r="H74" s="214"/>
      <c r="I74" s="214"/>
      <c r="J74" s="214"/>
      <c r="K74" s="214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  <c r="AD74" s="121"/>
      <c r="AE74" s="121"/>
      <c r="AF74" s="121"/>
      <c r="AG74" s="121"/>
      <c r="AH74" s="121"/>
      <c r="AI74" s="121"/>
      <c r="AJ74" s="121"/>
      <c r="AK74" s="121"/>
      <c r="AL74" s="121"/>
      <c r="AM74" s="121"/>
      <c r="AN74" s="121"/>
    </row>
    <row r="75" ht="17.25" hidden="1" customHeight="1">
      <c r="A75" s="121"/>
      <c r="B75" s="214"/>
      <c r="C75" s="214"/>
      <c r="D75" s="214"/>
      <c r="E75" s="214"/>
      <c r="F75" s="214"/>
      <c r="G75" s="214"/>
      <c r="H75" s="214"/>
      <c r="I75" s="214"/>
      <c r="J75" s="214"/>
      <c r="K75" s="214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  <c r="AD75" s="121"/>
      <c r="AE75" s="121"/>
      <c r="AF75" s="121"/>
      <c r="AG75" s="121"/>
      <c r="AH75" s="121"/>
      <c r="AI75" s="121"/>
      <c r="AJ75" s="121"/>
      <c r="AK75" s="121"/>
      <c r="AL75" s="121"/>
      <c r="AM75" s="121"/>
      <c r="AN75" s="121"/>
    </row>
    <row r="76" ht="17.25" hidden="1" customHeight="1">
      <c r="A76" s="121"/>
      <c r="B76" s="214"/>
      <c r="C76" s="214"/>
      <c r="D76" s="214"/>
      <c r="E76" s="214"/>
      <c r="F76" s="214"/>
      <c r="G76" s="214"/>
      <c r="H76" s="214"/>
      <c r="I76" s="214"/>
      <c r="J76" s="214"/>
      <c r="K76" s="214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  <c r="AC76" s="121"/>
      <c r="AD76" s="121"/>
      <c r="AE76" s="121"/>
      <c r="AF76" s="121"/>
      <c r="AG76" s="121"/>
      <c r="AH76" s="121"/>
      <c r="AI76" s="121"/>
      <c r="AJ76" s="121"/>
      <c r="AK76" s="121"/>
      <c r="AL76" s="121"/>
      <c r="AM76" s="121"/>
      <c r="AN76" s="121"/>
    </row>
    <row r="77" ht="17.25" hidden="1" customHeight="1">
      <c r="A77" s="121"/>
      <c r="B77" s="214"/>
      <c r="C77" s="214"/>
      <c r="D77" s="214"/>
      <c r="E77" s="214"/>
      <c r="F77" s="214"/>
      <c r="G77" s="214"/>
      <c r="H77" s="214"/>
      <c r="I77" s="214"/>
      <c r="J77" s="214"/>
      <c r="K77" s="214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  <c r="AD77" s="121"/>
      <c r="AE77" s="121"/>
      <c r="AF77" s="121"/>
      <c r="AG77" s="121"/>
      <c r="AH77" s="121"/>
      <c r="AI77" s="121"/>
      <c r="AJ77" s="121"/>
      <c r="AK77" s="121"/>
      <c r="AL77" s="121"/>
      <c r="AM77" s="121"/>
      <c r="AN77" s="121"/>
    </row>
    <row r="78" ht="17.25" hidden="1" customHeight="1">
      <c r="A78" s="121"/>
      <c r="B78" s="213">
        <f>COUNTIF($P$43:$P$47, true)</f>
        <v>0</v>
      </c>
      <c r="C78" s="214" t="str">
        <f t="array" ref="C78:H82">$J$43:$O$47</f>
        <v/>
      </c>
      <c r="D78" s="214"/>
      <c r="E78" s="214"/>
      <c r="F78" s="214"/>
      <c r="G78" s="214"/>
      <c r="H78" s="214"/>
      <c r="I78" s="214"/>
      <c r="J78" s="214"/>
      <c r="K78" s="214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  <c r="AD78" s="121"/>
      <c r="AE78" s="121"/>
      <c r="AF78" s="121"/>
      <c r="AG78" s="121"/>
      <c r="AH78" s="121"/>
      <c r="AI78" s="121"/>
      <c r="AJ78" s="121"/>
      <c r="AK78" s="121"/>
      <c r="AL78" s="121"/>
      <c r="AM78" s="121"/>
      <c r="AN78" s="121"/>
    </row>
    <row r="79" ht="17.25" hidden="1" customHeight="1">
      <c r="A79" s="121"/>
      <c r="B79" s="214"/>
      <c r="C79" s="214"/>
      <c r="D79" s="214"/>
      <c r="E79" s="214"/>
      <c r="F79" s="214"/>
      <c r="G79" s="214"/>
      <c r="H79" s="214"/>
      <c r="I79" s="214"/>
      <c r="J79" s="214"/>
      <c r="K79" s="214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  <c r="AC79" s="121"/>
      <c r="AD79" s="121"/>
      <c r="AE79" s="121"/>
      <c r="AF79" s="121"/>
      <c r="AG79" s="121"/>
      <c r="AH79" s="121"/>
      <c r="AI79" s="121"/>
      <c r="AJ79" s="121"/>
      <c r="AK79" s="121"/>
      <c r="AL79" s="121"/>
      <c r="AM79" s="121"/>
      <c r="AN79" s="121"/>
    </row>
    <row r="80" ht="17.25" hidden="1" customHeight="1">
      <c r="A80" s="121"/>
      <c r="B80" s="214"/>
      <c r="C80" s="214"/>
      <c r="D80" s="214"/>
      <c r="E80" s="214"/>
      <c r="F80" s="214"/>
      <c r="G80" s="214"/>
      <c r="H80" s="214"/>
      <c r="I80" s="214"/>
      <c r="J80" s="214"/>
      <c r="K80" s="214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  <c r="AA80" s="121"/>
      <c r="AB80" s="121"/>
      <c r="AC80" s="121"/>
      <c r="AD80" s="121"/>
      <c r="AE80" s="121"/>
      <c r="AF80" s="121"/>
      <c r="AG80" s="121"/>
      <c r="AH80" s="121"/>
      <c r="AI80" s="121"/>
      <c r="AJ80" s="121"/>
      <c r="AK80" s="121"/>
      <c r="AL80" s="121"/>
      <c r="AM80" s="121"/>
      <c r="AN80" s="121"/>
    </row>
    <row r="81" ht="17.25" hidden="1" customHeight="1">
      <c r="A81" s="121"/>
      <c r="B81" s="214"/>
      <c r="C81" s="214"/>
      <c r="D81" s="214"/>
      <c r="E81" s="214"/>
      <c r="F81" s="214"/>
      <c r="G81" s="214"/>
      <c r="H81" s="214"/>
      <c r="I81" s="214"/>
      <c r="J81" s="214"/>
      <c r="K81" s="214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1"/>
      <c r="AG81" s="121"/>
      <c r="AH81" s="121"/>
      <c r="AI81" s="121"/>
      <c r="AJ81" s="121"/>
      <c r="AK81" s="121"/>
      <c r="AL81" s="121"/>
      <c r="AM81" s="121"/>
      <c r="AN81" s="121"/>
    </row>
    <row r="82" ht="17.25" hidden="1" customHeight="1">
      <c r="A82" s="121"/>
      <c r="B82" s="214"/>
      <c r="C82" s="214"/>
      <c r="D82" s="214"/>
      <c r="E82" s="214"/>
      <c r="F82" s="214"/>
      <c r="G82" s="214"/>
      <c r="H82" s="214"/>
      <c r="I82" s="214"/>
      <c r="J82" s="214"/>
      <c r="K82" s="214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</row>
    <row r="83" ht="17.25" hidden="1" customHeight="1">
      <c r="A83" s="121"/>
      <c r="B83" s="214"/>
      <c r="C83" s="214"/>
      <c r="D83" s="214"/>
      <c r="E83" s="214"/>
      <c r="F83" s="214"/>
      <c r="G83" s="214"/>
      <c r="H83" s="214"/>
      <c r="I83" s="214"/>
      <c r="J83" s="214"/>
      <c r="K83" s="214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</row>
    <row r="84" ht="17.25" hidden="1" customHeight="1">
      <c r="A84" s="121"/>
      <c r="B84" s="214"/>
      <c r="C84" s="214"/>
      <c r="D84" s="214"/>
      <c r="E84" s="214"/>
      <c r="F84" s="214"/>
      <c r="G84" s="214"/>
      <c r="H84" s="214"/>
      <c r="I84" s="214"/>
      <c r="J84" s="214"/>
      <c r="K84" s="214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1"/>
      <c r="AE84" s="121"/>
      <c r="AF84" s="121"/>
      <c r="AG84" s="121"/>
      <c r="AH84" s="121"/>
      <c r="AI84" s="121"/>
      <c r="AJ84" s="121"/>
      <c r="AK84" s="121"/>
      <c r="AL84" s="121"/>
      <c r="AM84" s="121"/>
      <c r="AN84" s="121"/>
    </row>
    <row r="85" ht="17.25" hidden="1" customHeight="1">
      <c r="A85" s="121"/>
      <c r="B85" s="214"/>
      <c r="C85" s="214"/>
      <c r="D85" s="214"/>
      <c r="E85" s="214"/>
      <c r="F85" s="214"/>
      <c r="G85" s="214"/>
      <c r="H85" s="214"/>
      <c r="I85" s="214"/>
      <c r="J85" s="214"/>
      <c r="K85" s="214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1"/>
      <c r="AL85" s="121"/>
      <c r="AM85" s="121"/>
      <c r="AN85" s="121"/>
    </row>
    <row r="86" ht="17.25" hidden="1" customHeight="1">
      <c r="A86" s="121"/>
      <c r="B86" s="214"/>
      <c r="C86" s="214"/>
      <c r="D86" s="214"/>
      <c r="E86" s="214"/>
      <c r="F86" s="214"/>
      <c r="G86" s="214"/>
      <c r="H86" s="214"/>
      <c r="I86" s="214"/>
      <c r="J86" s="214"/>
      <c r="K86" s="214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</row>
    <row r="87" ht="17.25" hidden="1" customHeight="1">
      <c r="A87" s="121"/>
      <c r="B87" s="214"/>
      <c r="C87" s="214"/>
      <c r="D87" s="214"/>
      <c r="E87" s="214"/>
      <c r="F87" s="214"/>
      <c r="G87" s="214"/>
      <c r="H87" s="214"/>
      <c r="I87" s="214"/>
      <c r="J87" s="214"/>
      <c r="K87" s="214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</row>
    <row r="88" ht="17.25" hidden="1" customHeight="1">
      <c r="A88" s="121"/>
      <c r="B88" s="214"/>
      <c r="C88" s="214"/>
      <c r="D88" s="214"/>
      <c r="E88" s="214"/>
      <c r="F88" s="214"/>
      <c r="G88" s="214"/>
      <c r="H88" s="214"/>
      <c r="I88" s="214"/>
      <c r="J88" s="214"/>
      <c r="K88" s="214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</row>
    <row r="89" ht="17.25" hidden="1" customHeight="1">
      <c r="A89" s="121"/>
      <c r="B89" s="214"/>
      <c r="C89" s="214"/>
      <c r="D89" s="214"/>
      <c r="E89" s="214"/>
      <c r="F89" s="214"/>
      <c r="G89" s="214"/>
      <c r="H89" s="214"/>
      <c r="I89" s="214"/>
      <c r="J89" s="214"/>
      <c r="K89" s="214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</row>
    <row r="90" ht="17.25" hidden="1" customHeight="1">
      <c r="A90" s="121"/>
      <c r="B90" s="214"/>
      <c r="C90" s="214"/>
      <c r="D90" s="214"/>
      <c r="E90" s="214"/>
      <c r="F90" s="214"/>
      <c r="G90" s="214"/>
      <c r="H90" s="214"/>
      <c r="I90" s="214"/>
      <c r="J90" s="214"/>
      <c r="K90" s="214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</row>
    <row r="91" ht="17.25" hidden="1" customHeight="1">
      <c r="A91" s="121"/>
      <c r="B91" s="214"/>
      <c r="C91" s="214"/>
      <c r="D91" s="214"/>
      <c r="E91" s="214"/>
      <c r="F91" s="214"/>
      <c r="G91" s="214"/>
      <c r="H91" s="214"/>
      <c r="I91" s="214"/>
      <c r="J91" s="214"/>
      <c r="K91" s="214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</row>
    <row r="92" ht="17.25" hidden="1" customHeight="1">
      <c r="A92" s="121"/>
      <c r="B92" s="214"/>
      <c r="C92" s="214"/>
      <c r="D92" s="214"/>
      <c r="E92" s="214"/>
      <c r="F92" s="214"/>
      <c r="G92" s="214"/>
      <c r="H92" s="214"/>
      <c r="I92" s="214"/>
      <c r="J92" s="214"/>
      <c r="K92" s="214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</row>
    <row r="93" ht="17.25" hidden="1" customHeight="1">
      <c r="A93" s="121"/>
      <c r="B93" s="214"/>
      <c r="C93" s="214"/>
      <c r="D93" s="214"/>
      <c r="E93" s="214"/>
      <c r="F93" s="214"/>
      <c r="G93" s="214"/>
      <c r="H93" s="214"/>
      <c r="I93" s="214"/>
      <c r="J93" s="214"/>
      <c r="K93" s="214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</row>
    <row r="94" ht="17.25" hidden="1" customHeight="1">
      <c r="A94" s="121"/>
      <c r="B94" s="213">
        <f>COUNTIF($W$43:$W$47, true)</f>
        <v>0</v>
      </c>
      <c r="C94" s="214" t="str">
        <f t="array" ref="C94:H98">$Q$43:$V$47</f>
        <v/>
      </c>
      <c r="D94" s="214"/>
      <c r="E94" s="214"/>
      <c r="F94" s="214"/>
      <c r="G94" s="214"/>
      <c r="H94" s="214"/>
      <c r="I94" s="214"/>
      <c r="J94" s="214"/>
      <c r="K94" s="214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</row>
    <row r="95" ht="17.25" hidden="1" customHeight="1">
      <c r="A95" s="121"/>
      <c r="B95" s="214"/>
      <c r="C95" s="214"/>
      <c r="D95" s="214"/>
      <c r="E95" s="214"/>
      <c r="F95" s="214"/>
      <c r="G95" s="214"/>
      <c r="H95" s="214"/>
      <c r="I95" s="214"/>
      <c r="J95" s="214"/>
      <c r="K95" s="214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</row>
    <row r="96" ht="17.25" hidden="1" customHeight="1">
      <c r="A96" s="121"/>
      <c r="B96" s="214"/>
      <c r="C96" s="214"/>
      <c r="D96" s="214"/>
      <c r="E96" s="214"/>
      <c r="F96" s="214"/>
      <c r="G96" s="214"/>
      <c r="H96" s="214"/>
      <c r="I96" s="214"/>
      <c r="J96" s="214"/>
      <c r="K96" s="214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1"/>
      <c r="AH96" s="121"/>
      <c r="AI96" s="121"/>
      <c r="AJ96" s="121"/>
      <c r="AK96" s="121"/>
      <c r="AL96" s="121"/>
      <c r="AM96" s="121"/>
      <c r="AN96" s="121"/>
    </row>
    <row r="97" ht="17.25" hidden="1" customHeight="1">
      <c r="A97" s="121"/>
      <c r="B97" s="214"/>
      <c r="C97" s="214"/>
      <c r="D97" s="214"/>
      <c r="E97" s="214"/>
      <c r="F97" s="214"/>
      <c r="G97" s="214"/>
      <c r="H97" s="214"/>
      <c r="I97" s="214"/>
      <c r="J97" s="214"/>
      <c r="K97" s="214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  <c r="AA97" s="121"/>
      <c r="AB97" s="121"/>
      <c r="AC97" s="121"/>
      <c r="AD97" s="121"/>
      <c r="AE97" s="121"/>
      <c r="AF97" s="121"/>
      <c r="AG97" s="121"/>
      <c r="AH97" s="121"/>
      <c r="AI97" s="121"/>
      <c r="AJ97" s="121"/>
      <c r="AK97" s="121"/>
      <c r="AL97" s="121"/>
      <c r="AM97" s="121"/>
      <c r="AN97" s="121"/>
    </row>
    <row r="98" ht="17.25" hidden="1" customHeight="1">
      <c r="A98" s="121"/>
      <c r="B98" s="214"/>
      <c r="C98" s="214"/>
      <c r="D98" s="214"/>
      <c r="E98" s="214"/>
      <c r="F98" s="214"/>
      <c r="G98" s="214"/>
      <c r="H98" s="214"/>
      <c r="I98" s="214"/>
      <c r="J98" s="214"/>
      <c r="K98" s="214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1"/>
      <c r="AH98" s="121"/>
      <c r="AI98" s="121"/>
      <c r="AJ98" s="121"/>
      <c r="AK98" s="121"/>
      <c r="AL98" s="121"/>
      <c r="AM98" s="121"/>
      <c r="AN98" s="121"/>
    </row>
    <row r="99" ht="17.25" hidden="1" customHeight="1">
      <c r="A99" s="121"/>
      <c r="B99" s="214"/>
      <c r="C99" s="214"/>
      <c r="D99" s="214"/>
      <c r="E99" s="214"/>
      <c r="F99" s="214"/>
      <c r="G99" s="214"/>
      <c r="H99" s="214"/>
      <c r="I99" s="214"/>
      <c r="J99" s="214"/>
      <c r="K99" s="214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  <c r="AA99" s="121"/>
      <c r="AB99" s="121"/>
      <c r="AC99" s="121"/>
      <c r="AD99" s="121"/>
      <c r="AE99" s="121"/>
      <c r="AF99" s="121"/>
      <c r="AG99" s="121"/>
      <c r="AH99" s="121"/>
      <c r="AI99" s="121"/>
      <c r="AJ99" s="121"/>
      <c r="AK99" s="121"/>
      <c r="AL99" s="121"/>
      <c r="AM99" s="121"/>
      <c r="AN99" s="121"/>
    </row>
    <row r="100" ht="17.25" hidden="1" customHeight="1">
      <c r="A100" s="121"/>
      <c r="B100" s="214"/>
      <c r="C100" s="214"/>
      <c r="D100" s="214"/>
      <c r="E100" s="214"/>
      <c r="F100" s="214"/>
      <c r="G100" s="214"/>
      <c r="H100" s="214"/>
      <c r="I100" s="214"/>
      <c r="J100" s="214"/>
      <c r="K100" s="214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  <c r="AA100" s="121"/>
      <c r="AB100" s="121"/>
      <c r="AC100" s="121"/>
      <c r="AD100" s="121"/>
      <c r="AE100" s="121"/>
      <c r="AF100" s="121"/>
      <c r="AG100" s="121"/>
      <c r="AH100" s="121"/>
      <c r="AI100" s="121"/>
      <c r="AJ100" s="121"/>
      <c r="AK100" s="121"/>
      <c r="AL100" s="121"/>
      <c r="AM100" s="121"/>
      <c r="AN100" s="121"/>
    </row>
    <row r="101" ht="17.25" hidden="1" customHeight="1">
      <c r="A101" s="121"/>
      <c r="B101" s="214"/>
      <c r="C101" s="214"/>
      <c r="D101" s="214"/>
      <c r="E101" s="214"/>
      <c r="F101" s="214"/>
      <c r="G101" s="214"/>
      <c r="H101" s="214"/>
      <c r="I101" s="214"/>
      <c r="J101" s="214"/>
      <c r="K101" s="214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  <c r="AA101" s="121"/>
      <c r="AB101" s="121"/>
      <c r="AC101" s="121"/>
      <c r="AD101" s="121"/>
      <c r="AE101" s="121"/>
      <c r="AF101" s="121"/>
      <c r="AG101" s="121"/>
      <c r="AH101" s="121"/>
      <c r="AI101" s="121"/>
      <c r="AJ101" s="121"/>
      <c r="AK101" s="121"/>
      <c r="AL101" s="121"/>
      <c r="AM101" s="121"/>
      <c r="AN101" s="121"/>
    </row>
    <row r="102" ht="17.25" hidden="1" customHeight="1">
      <c r="A102" s="121"/>
      <c r="B102" s="214"/>
      <c r="C102" s="214"/>
      <c r="D102" s="214"/>
      <c r="E102" s="214"/>
      <c r="F102" s="214"/>
      <c r="G102" s="214"/>
      <c r="H102" s="214"/>
      <c r="I102" s="214"/>
      <c r="J102" s="214"/>
      <c r="K102" s="214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  <c r="AA102" s="121"/>
      <c r="AB102" s="121"/>
      <c r="AC102" s="121"/>
      <c r="AD102" s="121"/>
      <c r="AE102" s="121"/>
      <c r="AF102" s="121"/>
      <c r="AG102" s="121"/>
      <c r="AH102" s="121"/>
      <c r="AI102" s="121"/>
      <c r="AJ102" s="121"/>
      <c r="AK102" s="121"/>
      <c r="AL102" s="121"/>
      <c r="AM102" s="121"/>
      <c r="AN102" s="121"/>
    </row>
    <row r="103" ht="17.25" hidden="1" customHeight="1">
      <c r="A103" s="121"/>
      <c r="B103" s="214"/>
      <c r="C103" s="214"/>
      <c r="D103" s="214"/>
      <c r="E103" s="214"/>
      <c r="F103" s="214"/>
      <c r="G103" s="214"/>
      <c r="H103" s="214"/>
      <c r="I103" s="214"/>
      <c r="J103" s="214"/>
      <c r="K103" s="214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  <c r="AA103" s="121"/>
      <c r="AB103" s="121"/>
      <c r="AC103" s="121"/>
      <c r="AD103" s="121"/>
      <c r="AE103" s="121"/>
      <c r="AF103" s="121"/>
      <c r="AG103" s="121"/>
      <c r="AH103" s="121"/>
      <c r="AI103" s="121"/>
      <c r="AJ103" s="121"/>
      <c r="AK103" s="121"/>
      <c r="AL103" s="121"/>
      <c r="AM103" s="121"/>
      <c r="AN103" s="121"/>
    </row>
    <row r="104" ht="17.25" hidden="1" customHeight="1">
      <c r="A104" s="121"/>
      <c r="B104" s="214"/>
      <c r="C104" s="214"/>
      <c r="D104" s="214"/>
      <c r="E104" s="214"/>
      <c r="F104" s="214"/>
      <c r="G104" s="214"/>
      <c r="H104" s="214"/>
      <c r="I104" s="214"/>
      <c r="J104" s="214"/>
      <c r="K104" s="214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  <c r="AA104" s="121"/>
      <c r="AB104" s="121"/>
      <c r="AC104" s="121"/>
      <c r="AD104" s="121"/>
      <c r="AE104" s="121"/>
      <c r="AF104" s="121"/>
      <c r="AG104" s="121"/>
      <c r="AH104" s="121"/>
      <c r="AI104" s="121"/>
      <c r="AJ104" s="121"/>
      <c r="AK104" s="121"/>
      <c r="AL104" s="121"/>
      <c r="AM104" s="121"/>
      <c r="AN104" s="121"/>
    </row>
    <row r="105" ht="17.25" hidden="1" customHeight="1">
      <c r="A105" s="121"/>
      <c r="B105" s="214"/>
      <c r="C105" s="214"/>
      <c r="D105" s="214"/>
      <c r="E105" s="214"/>
      <c r="F105" s="214"/>
      <c r="G105" s="214"/>
      <c r="H105" s="214"/>
      <c r="I105" s="214"/>
      <c r="J105" s="214"/>
      <c r="K105" s="214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  <c r="AA105" s="121"/>
      <c r="AB105" s="121"/>
      <c r="AC105" s="121"/>
      <c r="AD105" s="121"/>
      <c r="AE105" s="121"/>
      <c r="AF105" s="121"/>
      <c r="AG105" s="121"/>
      <c r="AH105" s="121"/>
      <c r="AI105" s="121"/>
      <c r="AJ105" s="121"/>
      <c r="AK105" s="121"/>
      <c r="AL105" s="121"/>
      <c r="AM105" s="121"/>
      <c r="AN105" s="121"/>
    </row>
    <row r="106" ht="17.25" hidden="1" customHeight="1">
      <c r="A106" s="121"/>
      <c r="B106" s="214"/>
      <c r="C106" s="214"/>
      <c r="D106" s="214"/>
      <c r="E106" s="214"/>
      <c r="F106" s="214"/>
      <c r="G106" s="214"/>
      <c r="H106" s="214"/>
      <c r="I106" s="214"/>
      <c r="J106" s="214"/>
      <c r="K106" s="214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  <c r="AA106" s="121"/>
      <c r="AB106" s="121"/>
      <c r="AC106" s="121"/>
      <c r="AD106" s="121"/>
      <c r="AE106" s="121"/>
      <c r="AF106" s="121"/>
      <c r="AG106" s="121"/>
      <c r="AH106" s="121"/>
      <c r="AI106" s="121"/>
      <c r="AJ106" s="121"/>
      <c r="AK106" s="121"/>
      <c r="AL106" s="121"/>
      <c r="AM106" s="121"/>
      <c r="AN106" s="121"/>
    </row>
    <row r="107" ht="17.25" hidden="1" customHeight="1">
      <c r="A107" s="121"/>
      <c r="B107" s="214"/>
      <c r="C107" s="214"/>
      <c r="D107" s="214"/>
      <c r="E107" s="214"/>
      <c r="F107" s="214"/>
      <c r="G107" s="214"/>
      <c r="H107" s="214"/>
      <c r="I107" s="214"/>
      <c r="J107" s="214"/>
      <c r="K107" s="214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  <c r="AA107" s="121"/>
      <c r="AB107" s="121"/>
      <c r="AC107" s="121"/>
      <c r="AD107" s="121"/>
      <c r="AE107" s="121"/>
      <c r="AF107" s="121"/>
      <c r="AG107" s="121"/>
      <c r="AH107" s="121"/>
      <c r="AI107" s="121"/>
      <c r="AJ107" s="121"/>
      <c r="AK107" s="121"/>
      <c r="AL107" s="121"/>
      <c r="AM107" s="121"/>
      <c r="AN107" s="121"/>
    </row>
    <row r="108" ht="17.25" hidden="1" customHeight="1">
      <c r="A108" s="121"/>
      <c r="B108" s="214"/>
      <c r="C108" s="214"/>
      <c r="D108" s="214"/>
      <c r="E108" s="214"/>
      <c r="F108" s="214"/>
      <c r="G108" s="214"/>
      <c r="H108" s="214"/>
      <c r="I108" s="214"/>
      <c r="J108" s="214"/>
      <c r="K108" s="214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  <c r="AA108" s="121"/>
      <c r="AB108" s="121"/>
      <c r="AC108" s="121"/>
      <c r="AD108" s="121"/>
      <c r="AE108" s="121"/>
      <c r="AF108" s="121"/>
      <c r="AG108" s="121"/>
      <c r="AH108" s="121"/>
      <c r="AI108" s="121"/>
      <c r="AJ108" s="121"/>
      <c r="AK108" s="121"/>
      <c r="AL108" s="121"/>
      <c r="AM108" s="121"/>
      <c r="AN108" s="121"/>
    </row>
    <row r="109" ht="17.25" hidden="1" customHeight="1">
      <c r="A109" s="121"/>
      <c r="B109" s="214"/>
      <c r="C109" s="214"/>
      <c r="D109" s="214"/>
      <c r="E109" s="214"/>
      <c r="F109" s="214"/>
      <c r="G109" s="214"/>
      <c r="H109" s="214"/>
      <c r="I109" s="214"/>
      <c r="J109" s="214"/>
      <c r="K109" s="214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  <c r="AA109" s="121"/>
      <c r="AB109" s="121"/>
      <c r="AC109" s="121"/>
      <c r="AD109" s="121"/>
      <c r="AE109" s="121"/>
      <c r="AF109" s="121"/>
      <c r="AG109" s="121"/>
      <c r="AH109" s="121"/>
      <c r="AI109" s="121"/>
      <c r="AJ109" s="121"/>
      <c r="AK109" s="121"/>
      <c r="AL109" s="121"/>
      <c r="AM109" s="121"/>
      <c r="AN109" s="121"/>
    </row>
    <row r="110" ht="17.25" hidden="1" customHeight="1">
      <c r="A110" s="121"/>
      <c r="B110" s="213">
        <f>COUNTIF($AD$43:$AD$47, true)</f>
        <v>0</v>
      </c>
      <c r="C110" s="214" t="str">
        <f t="array" ref="C110:H114">$X$43:$AC$47</f>
        <v/>
      </c>
      <c r="D110" s="214"/>
      <c r="E110" s="214"/>
      <c r="F110" s="214"/>
      <c r="G110" s="214"/>
      <c r="H110" s="214"/>
      <c r="I110" s="214"/>
      <c r="J110" s="214"/>
      <c r="K110" s="214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121"/>
      <c r="AK110" s="121"/>
      <c r="AL110" s="121"/>
      <c r="AM110" s="121"/>
      <c r="AN110" s="121"/>
    </row>
    <row r="111" ht="17.25" hidden="1" customHeight="1">
      <c r="A111" s="121"/>
      <c r="B111" s="214"/>
      <c r="C111" s="214"/>
      <c r="D111" s="214"/>
      <c r="E111" s="214"/>
      <c r="F111" s="214"/>
      <c r="G111" s="214"/>
      <c r="H111" s="214"/>
      <c r="I111" s="214"/>
      <c r="J111" s="214"/>
      <c r="K111" s="214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  <c r="AA111" s="121"/>
      <c r="AB111" s="121"/>
      <c r="AC111" s="121"/>
      <c r="AD111" s="121"/>
      <c r="AE111" s="121"/>
      <c r="AF111" s="121"/>
      <c r="AG111" s="121"/>
      <c r="AH111" s="121"/>
      <c r="AI111" s="121"/>
      <c r="AJ111" s="121"/>
      <c r="AK111" s="121"/>
      <c r="AL111" s="121"/>
      <c r="AM111" s="121"/>
      <c r="AN111" s="121"/>
    </row>
    <row r="112" ht="17.25" hidden="1" customHeight="1">
      <c r="A112" s="121"/>
      <c r="B112" s="214"/>
      <c r="C112" s="214"/>
      <c r="D112" s="214"/>
      <c r="E112" s="214"/>
      <c r="F112" s="214"/>
      <c r="G112" s="214"/>
      <c r="H112" s="214"/>
      <c r="I112" s="214"/>
      <c r="J112" s="214"/>
      <c r="K112" s="214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  <c r="AA112" s="121"/>
      <c r="AB112" s="121"/>
      <c r="AC112" s="121"/>
      <c r="AD112" s="121"/>
      <c r="AE112" s="121"/>
      <c r="AF112" s="121"/>
      <c r="AG112" s="121"/>
      <c r="AH112" s="121"/>
      <c r="AI112" s="121"/>
      <c r="AJ112" s="121"/>
      <c r="AK112" s="121"/>
      <c r="AL112" s="121"/>
      <c r="AM112" s="121"/>
      <c r="AN112" s="121"/>
    </row>
    <row r="113" ht="17.25" hidden="1" customHeight="1">
      <c r="A113" s="121"/>
      <c r="B113" s="214"/>
      <c r="C113" s="214"/>
      <c r="D113" s="214"/>
      <c r="E113" s="214"/>
      <c r="F113" s="214"/>
      <c r="G113" s="214"/>
      <c r="H113" s="214"/>
      <c r="I113" s="214"/>
      <c r="J113" s="214"/>
      <c r="K113" s="214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  <c r="AA113" s="121"/>
      <c r="AB113" s="121"/>
      <c r="AC113" s="121"/>
      <c r="AD113" s="121"/>
      <c r="AE113" s="121"/>
      <c r="AF113" s="121"/>
      <c r="AG113" s="121"/>
      <c r="AH113" s="121"/>
      <c r="AI113" s="121"/>
      <c r="AJ113" s="121"/>
      <c r="AK113" s="121"/>
      <c r="AL113" s="121"/>
      <c r="AM113" s="121"/>
      <c r="AN113" s="121"/>
    </row>
    <row r="114" ht="17.25" hidden="1" customHeight="1">
      <c r="A114" s="121"/>
      <c r="B114" s="214"/>
      <c r="C114" s="214"/>
      <c r="D114" s="214"/>
      <c r="E114" s="214"/>
      <c r="F114" s="214"/>
      <c r="G114" s="214"/>
      <c r="H114" s="214"/>
      <c r="I114" s="214"/>
      <c r="J114" s="214"/>
      <c r="K114" s="214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  <c r="AA114" s="121"/>
      <c r="AB114" s="121"/>
      <c r="AC114" s="121"/>
      <c r="AD114" s="121"/>
      <c r="AE114" s="121"/>
      <c r="AF114" s="121"/>
      <c r="AG114" s="121"/>
      <c r="AH114" s="121"/>
      <c r="AI114" s="121"/>
      <c r="AJ114" s="121"/>
      <c r="AK114" s="121"/>
      <c r="AL114" s="121"/>
      <c r="AM114" s="121"/>
      <c r="AN114" s="121"/>
    </row>
    <row r="115" ht="17.25" hidden="1" customHeight="1">
      <c r="A115" s="121"/>
      <c r="B115" s="214"/>
      <c r="C115" s="214"/>
      <c r="D115" s="214"/>
      <c r="E115" s="214"/>
      <c r="F115" s="214"/>
      <c r="G115" s="214"/>
      <c r="H115" s="214"/>
      <c r="I115" s="214"/>
      <c r="J115" s="214"/>
      <c r="K115" s="214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  <c r="AA115" s="121"/>
      <c r="AB115" s="121"/>
      <c r="AC115" s="121"/>
      <c r="AD115" s="121"/>
      <c r="AE115" s="121"/>
      <c r="AF115" s="121"/>
      <c r="AG115" s="121"/>
      <c r="AH115" s="121"/>
      <c r="AI115" s="121"/>
      <c r="AJ115" s="121"/>
      <c r="AK115" s="121"/>
      <c r="AL115" s="121"/>
      <c r="AM115" s="121"/>
      <c r="AN115" s="121"/>
    </row>
    <row r="116" ht="17.25" hidden="1" customHeight="1">
      <c r="A116" s="121"/>
      <c r="B116" s="214"/>
      <c r="C116" s="214"/>
      <c r="D116" s="214"/>
      <c r="E116" s="214"/>
      <c r="F116" s="214"/>
      <c r="G116" s="214"/>
      <c r="H116" s="214"/>
      <c r="I116" s="214"/>
      <c r="J116" s="214"/>
      <c r="K116" s="214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  <c r="AA116" s="121"/>
      <c r="AB116" s="121"/>
      <c r="AC116" s="121"/>
      <c r="AD116" s="121"/>
      <c r="AE116" s="121"/>
      <c r="AF116" s="121"/>
      <c r="AG116" s="121"/>
      <c r="AH116" s="121"/>
      <c r="AI116" s="121"/>
      <c r="AJ116" s="121"/>
      <c r="AK116" s="121"/>
      <c r="AL116" s="121"/>
      <c r="AM116" s="121"/>
      <c r="AN116" s="121"/>
    </row>
    <row r="117" ht="17.25" hidden="1" customHeight="1">
      <c r="A117" s="121"/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121"/>
      <c r="AF117" s="121"/>
      <c r="AG117" s="121"/>
      <c r="AH117" s="121"/>
      <c r="AI117" s="121"/>
      <c r="AJ117" s="121"/>
      <c r="AK117" s="121"/>
      <c r="AL117" s="121"/>
      <c r="AM117" s="121"/>
      <c r="AN117" s="121"/>
    </row>
    <row r="118" ht="17.25" hidden="1" customHeight="1">
      <c r="A118" s="121"/>
      <c r="B118" s="214"/>
      <c r="C118" s="214"/>
      <c r="D118" s="214"/>
      <c r="E118" s="214"/>
      <c r="F118" s="214"/>
      <c r="G118" s="214"/>
      <c r="H118" s="214"/>
      <c r="I118" s="214"/>
      <c r="J118" s="214"/>
      <c r="K118" s="214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  <c r="AA118" s="121"/>
      <c r="AB118" s="121"/>
      <c r="AC118" s="121"/>
      <c r="AD118" s="121"/>
      <c r="AE118" s="121"/>
      <c r="AF118" s="121"/>
      <c r="AG118" s="121"/>
      <c r="AH118" s="121"/>
      <c r="AI118" s="121"/>
      <c r="AJ118" s="121"/>
      <c r="AK118" s="121"/>
      <c r="AL118" s="121"/>
      <c r="AM118" s="121"/>
      <c r="AN118" s="121"/>
    </row>
    <row r="119" ht="17.25" hidden="1" customHeight="1">
      <c r="A119" s="121"/>
      <c r="B119" s="214"/>
      <c r="C119" s="214"/>
      <c r="D119" s="214"/>
      <c r="E119" s="214"/>
      <c r="F119" s="214"/>
      <c r="G119" s="214"/>
      <c r="H119" s="214"/>
      <c r="I119" s="214"/>
      <c r="J119" s="214"/>
      <c r="K119" s="214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  <c r="AA119" s="121"/>
      <c r="AB119" s="121"/>
      <c r="AC119" s="121"/>
      <c r="AD119" s="121"/>
      <c r="AE119" s="121"/>
      <c r="AF119" s="121"/>
      <c r="AG119" s="121"/>
      <c r="AH119" s="121"/>
      <c r="AI119" s="121"/>
      <c r="AJ119" s="121"/>
      <c r="AK119" s="121"/>
      <c r="AL119" s="121"/>
      <c r="AM119" s="121"/>
      <c r="AN119" s="121"/>
    </row>
    <row r="120" ht="17.25" hidden="1" customHeight="1">
      <c r="A120" s="121"/>
      <c r="B120" s="214"/>
      <c r="C120" s="214"/>
      <c r="D120" s="214"/>
      <c r="E120" s="214"/>
      <c r="F120" s="214"/>
      <c r="G120" s="214"/>
      <c r="H120" s="214"/>
      <c r="I120" s="214"/>
      <c r="J120" s="214"/>
      <c r="K120" s="214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</row>
    <row r="121" ht="17.25" hidden="1" customHeight="1">
      <c r="A121" s="121"/>
      <c r="B121" s="214"/>
      <c r="C121" s="214"/>
      <c r="D121" s="214"/>
      <c r="E121" s="214"/>
      <c r="F121" s="214"/>
      <c r="G121" s="214"/>
      <c r="H121" s="214"/>
      <c r="I121" s="214"/>
      <c r="J121" s="214"/>
      <c r="K121" s="214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</row>
    <row r="122" ht="17.25" hidden="1" customHeight="1">
      <c r="A122" s="121"/>
      <c r="B122" s="214"/>
      <c r="C122" s="214"/>
      <c r="D122" s="214"/>
      <c r="E122" s="214"/>
      <c r="F122" s="214"/>
      <c r="G122" s="214"/>
      <c r="H122" s="214"/>
      <c r="I122" s="214"/>
      <c r="J122" s="214"/>
      <c r="K122" s="214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  <c r="AA122" s="121"/>
      <c r="AB122" s="121"/>
      <c r="AC122" s="121"/>
      <c r="AD122" s="121"/>
      <c r="AE122" s="121"/>
      <c r="AF122" s="121"/>
      <c r="AG122" s="121"/>
      <c r="AH122" s="121"/>
      <c r="AI122" s="121"/>
      <c r="AJ122" s="121"/>
      <c r="AK122" s="121"/>
      <c r="AL122" s="121"/>
      <c r="AM122" s="121"/>
      <c r="AN122" s="121"/>
    </row>
    <row r="123" ht="17.25" hidden="1" customHeight="1">
      <c r="A123" s="121"/>
      <c r="B123" s="214"/>
      <c r="C123" s="214"/>
      <c r="D123" s="214"/>
      <c r="E123" s="214"/>
      <c r="F123" s="214"/>
      <c r="G123" s="214"/>
      <c r="H123" s="214"/>
      <c r="I123" s="214"/>
      <c r="J123" s="214"/>
      <c r="K123" s="214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1"/>
      <c r="AL123" s="121"/>
      <c r="AM123" s="121"/>
      <c r="AN123" s="121"/>
    </row>
    <row r="124" ht="17.25" hidden="1" customHeight="1">
      <c r="A124" s="121"/>
      <c r="B124" s="214"/>
      <c r="C124" s="214"/>
      <c r="D124" s="214"/>
      <c r="E124" s="214"/>
      <c r="F124" s="214"/>
      <c r="G124" s="214"/>
      <c r="H124" s="214"/>
      <c r="I124" s="214"/>
      <c r="J124" s="214"/>
      <c r="K124" s="214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</row>
    <row r="125" ht="17.25" hidden="1" customHeight="1">
      <c r="A125" s="121"/>
      <c r="B125" s="214"/>
      <c r="C125" s="214"/>
      <c r="D125" s="214"/>
      <c r="E125" s="214"/>
      <c r="F125" s="214"/>
      <c r="G125" s="214"/>
      <c r="H125" s="214"/>
      <c r="I125" s="214"/>
      <c r="J125" s="214"/>
      <c r="K125" s="214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</row>
    <row r="126" ht="17.25" hidden="1" customHeight="1">
      <c r="A126" s="121"/>
      <c r="B126" s="213">
        <f>COUNTIF($P$55:$P$59, true)</f>
        <v>0</v>
      </c>
      <c r="C126" s="214" t="str">
        <f t="array" ref="C126:O130">$C$55:$O$59</f>
        <v/>
      </c>
      <c r="D126" s="214"/>
      <c r="E126" s="214"/>
      <c r="F126" s="214"/>
      <c r="G126" s="214"/>
      <c r="H126" s="214"/>
      <c r="I126" s="214"/>
      <c r="J126" s="214"/>
      <c r="K126" s="214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</row>
    <row r="127" ht="17.25" hidden="1" customHeight="1">
      <c r="A127" s="121"/>
      <c r="B127" s="214"/>
      <c r="C127" s="214"/>
      <c r="D127" s="214"/>
      <c r="E127" s="214"/>
      <c r="F127" s="214"/>
      <c r="G127" s="214"/>
      <c r="H127" s="214"/>
      <c r="I127" s="214"/>
      <c r="J127" s="214"/>
      <c r="K127" s="214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</row>
    <row r="128" ht="17.25" hidden="1" customHeight="1">
      <c r="A128" s="121"/>
      <c r="B128" s="214"/>
      <c r="C128" s="214"/>
      <c r="D128" s="214"/>
      <c r="E128" s="214"/>
      <c r="F128" s="214"/>
      <c r="G128" s="214"/>
      <c r="H128" s="214"/>
      <c r="I128" s="214"/>
      <c r="J128" s="214"/>
      <c r="K128" s="214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</row>
    <row r="129" ht="17.25" hidden="1" customHeight="1">
      <c r="A129" s="121"/>
      <c r="B129" s="214"/>
      <c r="C129" s="214"/>
      <c r="D129" s="214"/>
      <c r="E129" s="214"/>
      <c r="F129" s="214"/>
      <c r="G129" s="214"/>
      <c r="H129" s="214"/>
      <c r="I129" s="214"/>
      <c r="J129" s="214"/>
      <c r="K129" s="214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</row>
    <row r="130" ht="17.25" hidden="1" customHeight="1">
      <c r="A130" s="121"/>
      <c r="B130" s="214"/>
      <c r="C130" s="214"/>
      <c r="D130" s="214"/>
      <c r="E130" s="214"/>
      <c r="F130" s="214"/>
      <c r="G130" s="214"/>
      <c r="H130" s="214"/>
      <c r="I130" s="214"/>
      <c r="J130" s="214"/>
      <c r="K130" s="214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</row>
    <row r="131" ht="17.25" hidden="1" customHeight="1">
      <c r="A131" s="121"/>
      <c r="B131" s="214"/>
      <c r="C131" s="214"/>
      <c r="D131" s="214"/>
      <c r="E131" s="214"/>
      <c r="F131" s="214"/>
      <c r="G131" s="214"/>
      <c r="H131" s="214"/>
      <c r="I131" s="214"/>
      <c r="J131" s="214"/>
      <c r="K131" s="214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</row>
    <row r="132" ht="17.25" hidden="1" customHeight="1">
      <c r="A132" s="121"/>
      <c r="B132" s="214"/>
      <c r="C132" s="214"/>
      <c r="D132" s="214"/>
      <c r="E132" s="214"/>
      <c r="F132" s="214"/>
      <c r="G132" s="214"/>
      <c r="H132" s="214"/>
      <c r="I132" s="214"/>
      <c r="J132" s="214"/>
      <c r="K132" s="214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</row>
    <row r="133" ht="17.25" hidden="1" customHeight="1">
      <c r="A133" s="121"/>
      <c r="B133" s="214"/>
      <c r="C133" s="214"/>
      <c r="D133" s="214"/>
      <c r="E133" s="214"/>
      <c r="F133" s="214"/>
      <c r="G133" s="214"/>
      <c r="H133" s="214"/>
      <c r="I133" s="214"/>
      <c r="J133" s="214"/>
      <c r="K133" s="214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</row>
    <row r="134" ht="17.25" hidden="1" customHeight="1">
      <c r="A134" s="121"/>
      <c r="B134" s="214"/>
      <c r="C134" s="214"/>
      <c r="D134" s="214"/>
      <c r="E134" s="214"/>
      <c r="F134" s="214"/>
      <c r="G134" s="214"/>
      <c r="H134" s="214"/>
      <c r="I134" s="214"/>
      <c r="J134" s="214"/>
      <c r="K134" s="214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  <c r="AA134" s="121"/>
      <c r="AB134" s="121"/>
      <c r="AC134" s="121"/>
      <c r="AD134" s="121"/>
      <c r="AE134" s="121"/>
      <c r="AF134" s="121"/>
      <c r="AG134" s="121"/>
      <c r="AH134" s="121"/>
      <c r="AI134" s="121"/>
      <c r="AJ134" s="121"/>
      <c r="AK134" s="121"/>
      <c r="AL134" s="121"/>
      <c r="AM134" s="121"/>
      <c r="AN134" s="121"/>
    </row>
    <row r="135" ht="17.25" hidden="1" customHeight="1">
      <c r="A135" s="121"/>
      <c r="B135" s="214"/>
      <c r="C135" s="214"/>
      <c r="D135" s="214"/>
      <c r="E135" s="214"/>
      <c r="F135" s="214"/>
      <c r="G135" s="214"/>
      <c r="H135" s="214"/>
      <c r="I135" s="214"/>
      <c r="J135" s="214"/>
      <c r="K135" s="214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  <c r="AA135" s="121"/>
      <c r="AB135" s="121"/>
      <c r="AC135" s="121"/>
      <c r="AD135" s="121"/>
      <c r="AE135" s="121"/>
      <c r="AF135" s="121"/>
      <c r="AG135" s="121"/>
      <c r="AH135" s="121"/>
      <c r="AI135" s="121"/>
      <c r="AJ135" s="121"/>
      <c r="AK135" s="121"/>
      <c r="AL135" s="121"/>
      <c r="AM135" s="121"/>
      <c r="AN135" s="121"/>
    </row>
    <row r="136" ht="17.25" hidden="1" customHeight="1">
      <c r="A136" s="121"/>
      <c r="B136" s="214"/>
      <c r="C136" s="214"/>
      <c r="D136" s="214"/>
      <c r="E136" s="214"/>
      <c r="F136" s="214"/>
      <c r="G136" s="214"/>
      <c r="H136" s="214"/>
      <c r="I136" s="214"/>
      <c r="J136" s="214"/>
      <c r="K136" s="214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  <c r="AA136" s="121"/>
      <c r="AB136" s="121"/>
      <c r="AC136" s="121"/>
      <c r="AD136" s="121"/>
      <c r="AE136" s="121"/>
      <c r="AF136" s="121"/>
      <c r="AG136" s="121"/>
      <c r="AH136" s="121"/>
      <c r="AI136" s="121"/>
      <c r="AJ136" s="121"/>
      <c r="AK136" s="121"/>
      <c r="AL136" s="121"/>
      <c r="AM136" s="121"/>
      <c r="AN136" s="121"/>
    </row>
    <row r="137" ht="17.25" hidden="1" customHeight="1">
      <c r="A137" s="121"/>
      <c r="B137" s="214"/>
      <c r="C137" s="214"/>
      <c r="D137" s="214"/>
      <c r="E137" s="214"/>
      <c r="F137" s="214"/>
      <c r="G137" s="214"/>
      <c r="H137" s="214"/>
      <c r="I137" s="214"/>
      <c r="J137" s="214"/>
      <c r="K137" s="214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  <c r="AA137" s="121"/>
      <c r="AB137" s="121"/>
      <c r="AC137" s="121"/>
      <c r="AD137" s="121"/>
      <c r="AE137" s="121"/>
      <c r="AF137" s="121"/>
      <c r="AG137" s="121"/>
      <c r="AH137" s="121"/>
      <c r="AI137" s="121"/>
      <c r="AJ137" s="121"/>
      <c r="AK137" s="121"/>
      <c r="AL137" s="121"/>
      <c r="AM137" s="121"/>
      <c r="AN137" s="121"/>
    </row>
    <row r="138" ht="17.25" hidden="1" customHeight="1">
      <c r="A138" s="121"/>
      <c r="B138" s="214"/>
      <c r="C138" s="214"/>
      <c r="D138" s="214"/>
      <c r="E138" s="214"/>
      <c r="F138" s="214"/>
      <c r="G138" s="214"/>
      <c r="H138" s="214"/>
      <c r="I138" s="214"/>
      <c r="J138" s="214"/>
      <c r="K138" s="214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21"/>
      <c r="AH138" s="121"/>
      <c r="AI138" s="121"/>
      <c r="AJ138" s="121"/>
      <c r="AK138" s="121"/>
      <c r="AL138" s="121"/>
      <c r="AM138" s="121"/>
      <c r="AN138" s="121"/>
    </row>
    <row r="139" ht="17.25" hidden="1" customHeight="1">
      <c r="A139" s="121"/>
      <c r="B139" s="214"/>
      <c r="C139" s="214"/>
      <c r="D139" s="214"/>
      <c r="E139" s="214"/>
      <c r="F139" s="214"/>
      <c r="G139" s="214"/>
      <c r="H139" s="214"/>
      <c r="I139" s="214"/>
      <c r="J139" s="214"/>
      <c r="K139" s="214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  <c r="AA139" s="121"/>
      <c r="AB139" s="121"/>
      <c r="AC139" s="121"/>
      <c r="AD139" s="121"/>
      <c r="AE139" s="121"/>
      <c r="AF139" s="121"/>
      <c r="AG139" s="121"/>
      <c r="AH139" s="121"/>
      <c r="AI139" s="121"/>
      <c r="AJ139" s="121"/>
      <c r="AK139" s="121"/>
      <c r="AL139" s="121"/>
      <c r="AM139" s="121"/>
      <c r="AN139" s="121"/>
    </row>
    <row r="140" ht="17.25" hidden="1" customHeight="1">
      <c r="A140" s="121"/>
      <c r="B140" s="214"/>
      <c r="C140" s="214"/>
      <c r="D140" s="214"/>
      <c r="E140" s="214"/>
      <c r="F140" s="214"/>
      <c r="G140" s="214"/>
      <c r="H140" s="214"/>
      <c r="I140" s="214"/>
      <c r="J140" s="214"/>
      <c r="K140" s="214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  <c r="AA140" s="121"/>
      <c r="AB140" s="121"/>
      <c r="AC140" s="121"/>
      <c r="AD140" s="121"/>
      <c r="AE140" s="121"/>
      <c r="AF140" s="121"/>
      <c r="AG140" s="121"/>
      <c r="AH140" s="121"/>
      <c r="AI140" s="121"/>
      <c r="AJ140" s="121"/>
      <c r="AK140" s="121"/>
      <c r="AL140" s="121"/>
      <c r="AM140" s="121"/>
      <c r="AN140" s="121"/>
    </row>
  </sheetData>
  <mergeCells count="86">
    <mergeCell ref="AI38:AM38"/>
    <mergeCell ref="AI39:AM39"/>
    <mergeCell ref="B42:B43"/>
    <mergeCell ref="C42:H42"/>
    <mergeCell ref="Q42:V42"/>
    <mergeCell ref="C43:H43"/>
    <mergeCell ref="Q43:V43"/>
    <mergeCell ref="J42:O42"/>
    <mergeCell ref="J43:O43"/>
    <mergeCell ref="C44:H44"/>
    <mergeCell ref="J44:O44"/>
    <mergeCell ref="Q44:V44"/>
    <mergeCell ref="J45:O45"/>
    <mergeCell ref="Q45:V45"/>
    <mergeCell ref="C47:H47"/>
    <mergeCell ref="C49:I49"/>
    <mergeCell ref="B49:B51"/>
    <mergeCell ref="C51:I51"/>
    <mergeCell ref="C52:H52"/>
    <mergeCell ref="B54:B55"/>
    <mergeCell ref="C45:H45"/>
    <mergeCell ref="C46:H46"/>
    <mergeCell ref="J46:O46"/>
    <mergeCell ref="Q46:V46"/>
    <mergeCell ref="J47:O47"/>
    <mergeCell ref="Q47:V47"/>
    <mergeCell ref="Q50:W50"/>
    <mergeCell ref="C55:O55"/>
    <mergeCell ref="C56:O56"/>
    <mergeCell ref="C57:O57"/>
    <mergeCell ref="C58:O58"/>
    <mergeCell ref="C59:O59"/>
    <mergeCell ref="C50:I50"/>
    <mergeCell ref="J50:P50"/>
    <mergeCell ref="J51:P51"/>
    <mergeCell ref="Q51:W51"/>
    <mergeCell ref="J52:O52"/>
    <mergeCell ref="Q52:V52"/>
    <mergeCell ref="C54:P54"/>
    <mergeCell ref="O3:T3"/>
    <mergeCell ref="O4:T4"/>
    <mergeCell ref="B7:B8"/>
    <mergeCell ref="C7:I7"/>
    <mergeCell ref="J7:P7"/>
    <mergeCell ref="Q7:W7"/>
    <mergeCell ref="B2:H2"/>
    <mergeCell ref="AG2:AM5"/>
    <mergeCell ref="B3:H4"/>
    <mergeCell ref="I3:M3"/>
    <mergeCell ref="V3:Z3"/>
    <mergeCell ref="I4:M4"/>
    <mergeCell ref="V4:Z4"/>
    <mergeCell ref="B5:H5"/>
    <mergeCell ref="AB3:AF3"/>
    <mergeCell ref="AB4:AF4"/>
    <mergeCell ref="X7:AD7"/>
    <mergeCell ref="AE7:AG7"/>
    <mergeCell ref="AI7:AJ8"/>
    <mergeCell ref="AK7:AM8"/>
    <mergeCell ref="AK10:AM10"/>
    <mergeCell ref="AK11:AM11"/>
    <mergeCell ref="AK12:AM12"/>
    <mergeCell ref="AK13:AM13"/>
    <mergeCell ref="AK14:AM14"/>
    <mergeCell ref="AK15:AM15"/>
    <mergeCell ref="AK16:AM16"/>
    <mergeCell ref="AK17:AM17"/>
    <mergeCell ref="AK18:AM18"/>
    <mergeCell ref="AK19:AM19"/>
    <mergeCell ref="AK20:AM20"/>
    <mergeCell ref="AK21:AM21"/>
    <mergeCell ref="B36:AG36"/>
    <mergeCell ref="AI36:AM36"/>
    <mergeCell ref="AI37:AM37"/>
    <mergeCell ref="X42:AC42"/>
    <mergeCell ref="X43:AC43"/>
    <mergeCell ref="X44:AC44"/>
    <mergeCell ref="X45:AC45"/>
    <mergeCell ref="X46:AC46"/>
    <mergeCell ref="X47:AC47"/>
    <mergeCell ref="J49:P49"/>
    <mergeCell ref="Q49:W49"/>
    <mergeCell ref="X49:AD49"/>
    <mergeCell ref="X50:AD50"/>
    <mergeCell ref="X51:AD51"/>
    <mergeCell ref="X52:AC52"/>
  </mergeCells>
  <conditionalFormatting sqref="C23:AG23">
    <cfRule type="cellIs" dxfId="0" priority="1" operator="greaterThanOrEqual">
      <formula>"75%"</formula>
    </cfRule>
  </conditionalFormatting>
  <dataValidations>
    <dataValidation type="list" allowBlank="1" showErrorMessage="1" sqref="C37:AG39">
      <formula1>"10,9,8,7,6,5,4,3,2,1"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2" width="25.88"/>
    <col customWidth="1" min="3" max="19" width="4.25"/>
    <col customWidth="1" min="20" max="20" width="6.88"/>
    <col customWidth="1" min="21" max="33" width="4.25"/>
    <col customWidth="1" min="34" max="40" width="4.75"/>
  </cols>
  <sheetData>
    <row r="1" ht="17.25" customHeight="1">
      <c r="A1" s="120"/>
      <c r="B1" s="121"/>
      <c r="C1" s="122"/>
      <c r="D1" s="120"/>
      <c r="E1" s="121"/>
      <c r="F1" s="121"/>
      <c r="G1" s="121"/>
      <c r="H1" s="121"/>
      <c r="I1" s="121"/>
      <c r="J1" s="121"/>
      <c r="K1" s="121"/>
      <c r="L1" s="121"/>
      <c r="M1" s="123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</row>
    <row r="2" ht="17.25" customHeight="1">
      <c r="A2" s="120"/>
      <c r="B2" s="124"/>
      <c r="C2" s="21"/>
      <c r="D2" s="21"/>
      <c r="E2" s="21"/>
      <c r="F2" s="21"/>
      <c r="G2" s="21"/>
      <c r="H2" s="21"/>
      <c r="I2" s="125"/>
      <c r="J2" s="125"/>
      <c r="K2" s="125"/>
      <c r="L2" s="125"/>
      <c r="M2" s="126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21"/>
      <c r="AI2" s="21"/>
      <c r="AJ2" s="21"/>
      <c r="AK2" s="21"/>
      <c r="AL2" s="21"/>
      <c r="AM2" s="42"/>
      <c r="AN2" s="121"/>
    </row>
    <row r="3" ht="17.25" customHeight="1">
      <c r="A3" s="120"/>
      <c r="B3" s="33" t="s">
        <v>30</v>
      </c>
      <c r="I3" s="29" t="s">
        <v>39</v>
      </c>
      <c r="N3" s="127"/>
      <c r="O3" s="29" t="s">
        <v>41</v>
      </c>
      <c r="U3" s="127"/>
      <c r="V3" s="29" t="s">
        <v>42</v>
      </c>
      <c r="AA3" s="127"/>
      <c r="AB3" s="29" t="s">
        <v>26</v>
      </c>
      <c r="AM3" s="105"/>
      <c r="AN3" s="121"/>
    </row>
    <row r="4" ht="17.25" customHeight="1">
      <c r="A4" s="120"/>
      <c r="B4" s="85"/>
      <c r="I4" s="128">
        <f>SUM(countA($B$10:$B$21),$I$62)</f>
        <v>0</v>
      </c>
      <c r="N4" s="129"/>
      <c r="O4" s="130">
        <f>SUM(COUNTIF($C$10:$AG$21, true),$J$62)</f>
        <v>0</v>
      </c>
      <c r="U4" s="129"/>
      <c r="V4" s="131" t="str">
        <f>IFERROR(__xludf.DUMMYFUNCTION("iferror(SPARKLINE($AB$4:$AF$4,{""charttype"",""bar"";""max"",1;""color1"",""#c9e4b2""}))"),"")</f>
        <v/>
      </c>
      <c r="AA4" s="129"/>
      <c r="AB4" s="132">
        <f>$O$4/SUM(COUNTA($C$10:$AG$21),$K$62)</f>
        <v>0</v>
      </c>
      <c r="AM4" s="105"/>
      <c r="AN4" s="121"/>
    </row>
    <row r="5" ht="17.25" customHeight="1">
      <c r="A5" s="120"/>
      <c r="B5" s="133"/>
      <c r="C5" s="37"/>
      <c r="D5" s="37"/>
      <c r="E5" s="37"/>
      <c r="F5" s="37"/>
      <c r="G5" s="37"/>
      <c r="H5" s="37"/>
      <c r="I5" s="134"/>
      <c r="J5" s="134"/>
      <c r="K5" s="134"/>
      <c r="L5" s="134"/>
      <c r="M5" s="135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4"/>
      <c r="AG5" s="37"/>
      <c r="AH5" s="37"/>
      <c r="AI5" s="37"/>
      <c r="AJ5" s="37"/>
      <c r="AK5" s="37"/>
      <c r="AL5" s="37"/>
      <c r="AM5" s="44"/>
      <c r="AN5" s="121"/>
    </row>
    <row r="6" ht="17.25" customHeight="1">
      <c r="A6" s="120"/>
      <c r="B6" s="121"/>
      <c r="C6" s="122"/>
      <c r="D6" s="120"/>
      <c r="E6" s="121"/>
      <c r="F6" s="121"/>
      <c r="G6" s="121"/>
      <c r="H6" s="121"/>
      <c r="I6" s="121"/>
      <c r="J6" s="121"/>
      <c r="K6" s="121"/>
      <c r="L6" s="121"/>
      <c r="M6" s="123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</row>
    <row r="7" ht="17.25" customHeight="1">
      <c r="A7" s="120"/>
      <c r="B7" s="136" t="s">
        <v>43</v>
      </c>
      <c r="C7" s="190" t="s">
        <v>44</v>
      </c>
      <c r="D7" s="46"/>
      <c r="E7" s="46"/>
      <c r="F7" s="46"/>
      <c r="G7" s="46"/>
      <c r="H7" s="46"/>
      <c r="I7" s="47"/>
      <c r="J7" s="216" t="s">
        <v>45</v>
      </c>
      <c r="K7" s="46"/>
      <c r="L7" s="46"/>
      <c r="M7" s="46"/>
      <c r="N7" s="46"/>
      <c r="O7" s="46"/>
      <c r="P7" s="47"/>
      <c r="Q7" s="217" t="s">
        <v>46</v>
      </c>
      <c r="R7" s="46"/>
      <c r="S7" s="46"/>
      <c r="T7" s="46"/>
      <c r="U7" s="46"/>
      <c r="V7" s="46"/>
      <c r="W7" s="47"/>
      <c r="X7" s="218" t="s">
        <v>47</v>
      </c>
      <c r="Y7" s="46"/>
      <c r="Z7" s="46"/>
      <c r="AA7" s="46"/>
      <c r="AB7" s="46"/>
      <c r="AC7" s="46"/>
      <c r="AD7" s="47"/>
      <c r="AE7" s="141"/>
      <c r="AF7" s="46"/>
      <c r="AG7" s="47"/>
      <c r="AH7" s="121"/>
      <c r="AI7" s="62" t="s">
        <v>48</v>
      </c>
      <c r="AJ7" s="42"/>
      <c r="AK7" s="62" t="s">
        <v>49</v>
      </c>
      <c r="AL7" s="21"/>
      <c r="AM7" s="42"/>
      <c r="AN7" s="121"/>
    </row>
    <row r="8" ht="17.25" customHeight="1">
      <c r="A8" s="121"/>
      <c r="B8" s="86"/>
      <c r="C8" s="143">
        <f>weekday(date(Dashboard!$Q$3,$AG$45,C9),1)</f>
        <v>3</v>
      </c>
      <c r="D8" s="143">
        <f>weekday(date(Dashboard!$Q$3,$AG$45,D9),1)</f>
        <v>4</v>
      </c>
      <c r="E8" s="143">
        <f>weekday(date(Dashboard!$Q$3,$AG$45,E9),1)</f>
        <v>5</v>
      </c>
      <c r="F8" s="143">
        <f>weekday(date(Dashboard!$Q$3,$AG$45,F9),1)</f>
        <v>6</v>
      </c>
      <c r="G8" s="143">
        <f>weekday(date(Dashboard!$Q$3,$AG$45,G9),1)</f>
        <v>7</v>
      </c>
      <c r="H8" s="143">
        <f>weekday(date(Dashboard!$Q$3,$AG$45,H9),1)</f>
        <v>1</v>
      </c>
      <c r="I8" s="143">
        <f>weekday(date(Dashboard!$Q$3,$AG$45,I9),1)</f>
        <v>2</v>
      </c>
      <c r="J8" s="144">
        <f>weekday(date(Dashboard!$Q$3,$AG$45,J9),1)</f>
        <v>3</v>
      </c>
      <c r="K8" s="144">
        <f>weekday(date(Dashboard!$Q$3,$AG$45,K9),1)</f>
        <v>4</v>
      </c>
      <c r="L8" s="144">
        <f>weekday(date(Dashboard!$Q$3,$AG$45,L9),1)</f>
        <v>5</v>
      </c>
      <c r="M8" s="144">
        <f>weekday(date(Dashboard!$Q$3,$AG$45,M9),1)</f>
        <v>6</v>
      </c>
      <c r="N8" s="144">
        <f>weekday(date(Dashboard!$Q$3,$AG$45,N9),1)</f>
        <v>7</v>
      </c>
      <c r="O8" s="144">
        <f>weekday(date(Dashboard!$Q$3,$AG$45,O9),1)</f>
        <v>1</v>
      </c>
      <c r="P8" s="144">
        <f>weekday(date(Dashboard!$Q$3,$AG$45,P9),1)</f>
        <v>2</v>
      </c>
      <c r="Q8" s="145">
        <f>weekday(date(Dashboard!$Q$3,$AG$45,Q9),1)</f>
        <v>3</v>
      </c>
      <c r="R8" s="145">
        <f>weekday(date(Dashboard!$Q$3,$AG$45,R9),1)</f>
        <v>4</v>
      </c>
      <c r="S8" s="145">
        <f>weekday(date(Dashboard!$Q$3,$AG$45,S9),1)</f>
        <v>5</v>
      </c>
      <c r="T8" s="145">
        <f>weekday(date(Dashboard!$Q$3,$AG$45,T9),1)</f>
        <v>6</v>
      </c>
      <c r="U8" s="145">
        <f>weekday(date(Dashboard!$Q$3,$AG$45,U9),1)</f>
        <v>7</v>
      </c>
      <c r="V8" s="145">
        <f>weekday(date(Dashboard!$Q$3,$AG$45,V9),1)</f>
        <v>1</v>
      </c>
      <c r="W8" s="145">
        <f>weekday(date(Dashboard!$Q$3,$AG$45,W9),1)</f>
        <v>2</v>
      </c>
      <c r="X8" s="146">
        <f>weekday(date(Dashboard!$Q$3,$AG$45,X9),1)</f>
        <v>3</v>
      </c>
      <c r="Y8" s="146">
        <f>weekday(date(Dashboard!$Q$3,$AG$45,Y9),1)</f>
        <v>4</v>
      </c>
      <c r="Z8" s="146">
        <f>weekday(date(Dashboard!$Q$3,$AG$45,Z9),1)</f>
        <v>5</v>
      </c>
      <c r="AA8" s="146">
        <f>weekday(date(Dashboard!$Q$3,$AG$45,AA9),1)</f>
        <v>6</v>
      </c>
      <c r="AB8" s="146">
        <f>weekday(date(Dashboard!$Q$3,$AG$45,AB9),1)</f>
        <v>7</v>
      </c>
      <c r="AC8" s="146">
        <f>weekday(date(Dashboard!$Q$3,$AG$45,AC9),1)</f>
        <v>1</v>
      </c>
      <c r="AD8" s="146">
        <f>weekday(date(Dashboard!$Q$3,$AG$45,AD9),1)</f>
        <v>2</v>
      </c>
      <c r="AE8" s="147">
        <f>weekday(date(Dashboard!$Q$3,$AG$45,AE9),1)</f>
        <v>3</v>
      </c>
      <c r="AF8" s="147">
        <f>weekday(date(Dashboard!$Q$3,$AG$45,AF9),1)</f>
        <v>4</v>
      </c>
      <c r="AG8" s="148">
        <f>weekday(date(Dashboard!$Q$3,$AG$45,AG9),1)</f>
        <v>5</v>
      </c>
      <c r="AH8" s="149"/>
      <c r="AI8" s="43"/>
      <c r="AJ8" s="44"/>
      <c r="AK8" s="43"/>
      <c r="AL8" s="37"/>
      <c r="AM8" s="44"/>
      <c r="AN8" s="149"/>
    </row>
    <row r="9" ht="17.25" customHeight="1">
      <c r="A9" s="121"/>
      <c r="B9" s="150">
        <f>TODAY()</f>
        <v>46025</v>
      </c>
      <c r="C9" s="151">
        <v>1.0</v>
      </c>
      <c r="D9" s="151">
        <v>2.0</v>
      </c>
      <c r="E9" s="151">
        <v>3.0</v>
      </c>
      <c r="F9" s="151">
        <v>4.0</v>
      </c>
      <c r="G9" s="151">
        <v>5.0</v>
      </c>
      <c r="H9" s="151">
        <v>6.0</v>
      </c>
      <c r="I9" s="151">
        <v>7.0</v>
      </c>
      <c r="J9" s="152">
        <v>8.0</v>
      </c>
      <c r="K9" s="152">
        <v>9.0</v>
      </c>
      <c r="L9" s="152">
        <v>10.0</v>
      </c>
      <c r="M9" s="152">
        <v>11.0</v>
      </c>
      <c r="N9" s="152">
        <v>12.0</v>
      </c>
      <c r="O9" s="152">
        <v>13.0</v>
      </c>
      <c r="P9" s="152">
        <v>14.0</v>
      </c>
      <c r="Q9" s="153">
        <v>15.0</v>
      </c>
      <c r="R9" s="153">
        <v>16.0</v>
      </c>
      <c r="S9" s="153">
        <v>17.0</v>
      </c>
      <c r="T9" s="153">
        <v>18.0</v>
      </c>
      <c r="U9" s="153">
        <v>19.0</v>
      </c>
      <c r="V9" s="153">
        <v>20.0</v>
      </c>
      <c r="W9" s="153">
        <v>21.0</v>
      </c>
      <c r="X9" s="154">
        <v>22.0</v>
      </c>
      <c r="Y9" s="154">
        <v>23.0</v>
      </c>
      <c r="Z9" s="154">
        <v>24.0</v>
      </c>
      <c r="AA9" s="154">
        <v>25.0</v>
      </c>
      <c r="AB9" s="154">
        <v>26.0</v>
      </c>
      <c r="AC9" s="154">
        <v>27.0</v>
      </c>
      <c r="AD9" s="154">
        <v>28.0</v>
      </c>
      <c r="AE9" s="155">
        <v>29.0</v>
      </c>
      <c r="AF9" s="155">
        <v>30.0</v>
      </c>
      <c r="AG9" s="155">
        <v>31.0</v>
      </c>
      <c r="AH9" s="149"/>
      <c r="AI9" s="156" t="s">
        <v>14</v>
      </c>
      <c r="AJ9" s="156" t="s">
        <v>50</v>
      </c>
      <c r="AK9" s="157"/>
      <c r="AL9" s="158"/>
      <c r="AM9" s="159"/>
      <c r="AN9" s="149"/>
    </row>
    <row r="10" ht="17.25" customHeight="1">
      <c r="A10" s="121"/>
      <c r="B10" s="160"/>
      <c r="C10" s="161" t="b">
        <v>0</v>
      </c>
      <c r="D10" s="162" t="b">
        <v>0</v>
      </c>
      <c r="E10" s="162" t="b">
        <v>0</v>
      </c>
      <c r="F10" s="162" t="b">
        <v>0</v>
      </c>
      <c r="G10" s="162" t="b">
        <v>0</v>
      </c>
      <c r="H10" s="162" t="b">
        <v>0</v>
      </c>
      <c r="I10" s="162" t="b">
        <v>0</v>
      </c>
      <c r="J10" s="163" t="b">
        <v>0</v>
      </c>
      <c r="K10" s="163" t="b">
        <v>0</v>
      </c>
      <c r="L10" s="163" t="b">
        <v>0</v>
      </c>
      <c r="M10" s="163" t="b">
        <v>0</v>
      </c>
      <c r="N10" s="163" t="b">
        <v>0</v>
      </c>
      <c r="O10" s="163" t="b">
        <v>0</v>
      </c>
      <c r="P10" s="163" t="b">
        <v>0</v>
      </c>
      <c r="Q10" s="164" t="b">
        <v>0</v>
      </c>
      <c r="R10" s="164" t="b">
        <v>0</v>
      </c>
      <c r="S10" s="164" t="b">
        <v>0</v>
      </c>
      <c r="T10" s="164" t="b">
        <v>0</v>
      </c>
      <c r="U10" s="164" t="b">
        <v>0</v>
      </c>
      <c r="V10" s="164" t="b">
        <v>0</v>
      </c>
      <c r="W10" s="164" t="b">
        <v>0</v>
      </c>
      <c r="X10" s="165" t="b">
        <v>0</v>
      </c>
      <c r="Y10" s="165" t="b">
        <v>0</v>
      </c>
      <c r="Z10" s="165" t="b">
        <v>0</v>
      </c>
      <c r="AA10" s="165" t="b">
        <v>0</v>
      </c>
      <c r="AB10" s="165" t="b">
        <v>0</v>
      </c>
      <c r="AC10" s="165" t="b">
        <v>0</v>
      </c>
      <c r="AD10" s="165" t="b">
        <v>0</v>
      </c>
      <c r="AE10" s="166" t="b">
        <v>0</v>
      </c>
      <c r="AF10" s="166" t="b">
        <v>0</v>
      </c>
      <c r="AG10" s="166" t="b">
        <v>0</v>
      </c>
      <c r="AH10" s="149"/>
      <c r="AI10" s="167"/>
      <c r="AJ10" s="168">
        <f t="array" ref="AJ10:AJ21">MMULT(N($C$10:$AG$21), TRANSPOSE(COLUMN($C$10:$AG$21)^0))
</f>
        <v>0</v>
      </c>
      <c r="AK10" s="169" t="str">
        <f>IFERROR(__xludf.DUMMYFUNCTION("iferror(SPARKLINE(AJ10/AI10,{""charttype"",""bar"";""max"",1;""color1"",""#c9e4b2""}))"),"")</f>
        <v/>
      </c>
      <c r="AL10" s="46"/>
      <c r="AM10" s="47"/>
      <c r="AN10" s="170"/>
    </row>
    <row r="11" ht="17.25" customHeight="1">
      <c r="A11" s="121"/>
      <c r="B11" s="160"/>
      <c r="C11" s="161" t="b">
        <v>0</v>
      </c>
      <c r="D11" s="162" t="b">
        <v>0</v>
      </c>
      <c r="E11" s="162" t="b">
        <v>0</v>
      </c>
      <c r="F11" s="162" t="b">
        <v>0</v>
      </c>
      <c r="G11" s="162" t="b">
        <v>0</v>
      </c>
      <c r="H11" s="162" t="b">
        <v>0</v>
      </c>
      <c r="I11" s="162" t="b">
        <v>0</v>
      </c>
      <c r="J11" s="163" t="b">
        <v>0</v>
      </c>
      <c r="K11" s="163" t="b">
        <v>0</v>
      </c>
      <c r="L11" s="163" t="b">
        <v>0</v>
      </c>
      <c r="M11" s="163" t="b">
        <v>0</v>
      </c>
      <c r="N11" s="163" t="b">
        <v>0</v>
      </c>
      <c r="O11" s="163" t="b">
        <v>0</v>
      </c>
      <c r="P11" s="163" t="b">
        <v>0</v>
      </c>
      <c r="Q11" s="164" t="b">
        <v>0</v>
      </c>
      <c r="R11" s="164" t="b">
        <v>0</v>
      </c>
      <c r="S11" s="164" t="b">
        <v>0</v>
      </c>
      <c r="T11" s="164" t="b">
        <v>0</v>
      </c>
      <c r="U11" s="164" t="b">
        <v>0</v>
      </c>
      <c r="V11" s="164" t="b">
        <v>0</v>
      </c>
      <c r="W11" s="164" t="b">
        <v>0</v>
      </c>
      <c r="X11" s="165" t="b">
        <v>0</v>
      </c>
      <c r="Y11" s="165" t="b">
        <v>0</v>
      </c>
      <c r="Z11" s="165" t="b">
        <v>0</v>
      </c>
      <c r="AA11" s="165" t="b">
        <v>0</v>
      </c>
      <c r="AB11" s="165" t="b">
        <v>0</v>
      </c>
      <c r="AC11" s="165" t="b">
        <v>0</v>
      </c>
      <c r="AD11" s="165" t="b">
        <v>0</v>
      </c>
      <c r="AE11" s="166" t="b">
        <v>0</v>
      </c>
      <c r="AF11" s="166" t="b">
        <v>0</v>
      </c>
      <c r="AG11" s="166" t="b">
        <v>0</v>
      </c>
      <c r="AH11" s="149"/>
      <c r="AI11" s="167"/>
      <c r="AJ11" s="160">
        <v>0.0</v>
      </c>
      <c r="AK11" s="169" t="str">
        <f>IFERROR(__xludf.DUMMYFUNCTION("iferror(SPARKLINE(AJ11/AI11,{""charttype"",""bar"";""max"",1;""color1"",""#c9e4b2""}))"),"")</f>
        <v/>
      </c>
      <c r="AL11" s="46"/>
      <c r="AM11" s="47"/>
      <c r="AN11" s="170"/>
    </row>
    <row r="12" ht="17.25" customHeight="1">
      <c r="A12" s="121"/>
      <c r="B12" s="160"/>
      <c r="C12" s="161" t="b">
        <v>0</v>
      </c>
      <c r="D12" s="162" t="b">
        <v>0</v>
      </c>
      <c r="E12" s="162" t="b">
        <v>0</v>
      </c>
      <c r="F12" s="162" t="b">
        <v>0</v>
      </c>
      <c r="G12" s="162" t="b">
        <v>0</v>
      </c>
      <c r="H12" s="162" t="b">
        <v>0</v>
      </c>
      <c r="I12" s="162" t="b">
        <v>0</v>
      </c>
      <c r="J12" s="163" t="b">
        <v>0</v>
      </c>
      <c r="K12" s="163" t="b">
        <v>0</v>
      </c>
      <c r="L12" s="163" t="b">
        <v>0</v>
      </c>
      <c r="M12" s="163" t="b">
        <v>0</v>
      </c>
      <c r="N12" s="163" t="b">
        <v>0</v>
      </c>
      <c r="O12" s="163" t="b">
        <v>0</v>
      </c>
      <c r="P12" s="163" t="b">
        <v>0</v>
      </c>
      <c r="Q12" s="164" t="b">
        <v>0</v>
      </c>
      <c r="R12" s="164" t="b">
        <v>0</v>
      </c>
      <c r="S12" s="164" t="b">
        <v>0</v>
      </c>
      <c r="T12" s="164" t="b">
        <v>0</v>
      </c>
      <c r="U12" s="164" t="b">
        <v>0</v>
      </c>
      <c r="V12" s="164" t="b">
        <v>0</v>
      </c>
      <c r="W12" s="164" t="b">
        <v>0</v>
      </c>
      <c r="X12" s="165" t="b">
        <v>0</v>
      </c>
      <c r="Y12" s="165" t="b">
        <v>0</v>
      </c>
      <c r="Z12" s="165" t="b">
        <v>0</v>
      </c>
      <c r="AA12" s="165" t="b">
        <v>0</v>
      </c>
      <c r="AB12" s="165" t="b">
        <v>0</v>
      </c>
      <c r="AC12" s="165" t="b">
        <v>0</v>
      </c>
      <c r="AD12" s="165" t="b">
        <v>0</v>
      </c>
      <c r="AE12" s="166" t="b">
        <v>0</v>
      </c>
      <c r="AF12" s="166" t="b">
        <v>0</v>
      </c>
      <c r="AG12" s="166" t="b">
        <v>0</v>
      </c>
      <c r="AH12" s="149"/>
      <c r="AI12" s="167"/>
      <c r="AJ12" s="160">
        <v>0.0</v>
      </c>
      <c r="AK12" s="169" t="str">
        <f>IFERROR(__xludf.DUMMYFUNCTION("iferror(SPARKLINE(AJ12/AI12,{""charttype"",""bar"";""max"",1;""color1"",""#c9e4b2""}))"),"")</f>
        <v/>
      </c>
      <c r="AL12" s="46"/>
      <c r="AM12" s="47"/>
      <c r="AN12" s="170"/>
    </row>
    <row r="13" ht="17.25" customHeight="1">
      <c r="A13" s="121"/>
      <c r="B13" s="160"/>
      <c r="C13" s="161" t="b">
        <v>0</v>
      </c>
      <c r="D13" s="162" t="b">
        <v>0</v>
      </c>
      <c r="E13" s="162" t="b">
        <v>0</v>
      </c>
      <c r="F13" s="162" t="b">
        <v>0</v>
      </c>
      <c r="G13" s="162" t="b">
        <v>0</v>
      </c>
      <c r="H13" s="162" t="b">
        <v>0</v>
      </c>
      <c r="I13" s="162" t="b">
        <v>0</v>
      </c>
      <c r="J13" s="163" t="b">
        <v>0</v>
      </c>
      <c r="K13" s="163" t="b">
        <v>0</v>
      </c>
      <c r="L13" s="163" t="b">
        <v>0</v>
      </c>
      <c r="M13" s="163" t="b">
        <v>0</v>
      </c>
      <c r="N13" s="163" t="b">
        <v>0</v>
      </c>
      <c r="O13" s="163" t="b">
        <v>0</v>
      </c>
      <c r="P13" s="163" t="b">
        <v>0</v>
      </c>
      <c r="Q13" s="164" t="b">
        <v>0</v>
      </c>
      <c r="R13" s="164" t="b">
        <v>0</v>
      </c>
      <c r="S13" s="164" t="b">
        <v>0</v>
      </c>
      <c r="T13" s="164" t="b">
        <v>0</v>
      </c>
      <c r="U13" s="164" t="b">
        <v>0</v>
      </c>
      <c r="V13" s="164" t="b">
        <v>0</v>
      </c>
      <c r="W13" s="164" t="b">
        <v>0</v>
      </c>
      <c r="X13" s="165" t="b">
        <v>0</v>
      </c>
      <c r="Y13" s="165" t="b">
        <v>0</v>
      </c>
      <c r="Z13" s="165" t="b">
        <v>0</v>
      </c>
      <c r="AA13" s="165" t="b">
        <v>0</v>
      </c>
      <c r="AB13" s="165" t="b">
        <v>0</v>
      </c>
      <c r="AC13" s="165" t="b">
        <v>0</v>
      </c>
      <c r="AD13" s="165" t="b">
        <v>0</v>
      </c>
      <c r="AE13" s="166" t="b">
        <v>0</v>
      </c>
      <c r="AF13" s="166" t="b">
        <v>0</v>
      </c>
      <c r="AG13" s="166" t="b">
        <v>0</v>
      </c>
      <c r="AH13" s="149"/>
      <c r="AI13" s="167"/>
      <c r="AJ13" s="160">
        <v>0.0</v>
      </c>
      <c r="AK13" s="169" t="str">
        <f>IFERROR(__xludf.DUMMYFUNCTION("iferror(SPARKLINE(AJ13/AI13,{""charttype"",""bar"";""max"",1;""color1"",""#c9e4b2""}))"),"")</f>
        <v/>
      </c>
      <c r="AL13" s="46"/>
      <c r="AM13" s="47"/>
      <c r="AN13" s="170"/>
    </row>
    <row r="14" ht="17.25" customHeight="1">
      <c r="A14" s="121"/>
      <c r="B14" s="160"/>
      <c r="C14" s="161" t="b">
        <v>0</v>
      </c>
      <c r="D14" s="162" t="b">
        <v>0</v>
      </c>
      <c r="E14" s="162" t="b">
        <v>0</v>
      </c>
      <c r="F14" s="162" t="b">
        <v>0</v>
      </c>
      <c r="G14" s="162" t="b">
        <v>0</v>
      </c>
      <c r="H14" s="162" t="b">
        <v>0</v>
      </c>
      <c r="I14" s="162" t="b">
        <v>0</v>
      </c>
      <c r="J14" s="163" t="b">
        <v>0</v>
      </c>
      <c r="K14" s="163" t="b">
        <v>0</v>
      </c>
      <c r="L14" s="163" t="b">
        <v>0</v>
      </c>
      <c r="M14" s="163" t="b">
        <v>0</v>
      </c>
      <c r="N14" s="163" t="b">
        <v>0</v>
      </c>
      <c r="O14" s="163" t="b">
        <v>0</v>
      </c>
      <c r="P14" s="163" t="b">
        <v>0</v>
      </c>
      <c r="Q14" s="164" t="b">
        <v>0</v>
      </c>
      <c r="R14" s="164" t="b">
        <v>0</v>
      </c>
      <c r="S14" s="164" t="b">
        <v>0</v>
      </c>
      <c r="T14" s="164" t="b">
        <v>0</v>
      </c>
      <c r="U14" s="164" t="b">
        <v>0</v>
      </c>
      <c r="V14" s="164" t="b">
        <v>0</v>
      </c>
      <c r="W14" s="164" t="b">
        <v>0</v>
      </c>
      <c r="X14" s="165" t="b">
        <v>0</v>
      </c>
      <c r="Y14" s="165" t="b">
        <v>0</v>
      </c>
      <c r="Z14" s="165" t="b">
        <v>0</v>
      </c>
      <c r="AA14" s="165" t="b">
        <v>0</v>
      </c>
      <c r="AB14" s="165" t="b">
        <v>0</v>
      </c>
      <c r="AC14" s="165" t="b">
        <v>0</v>
      </c>
      <c r="AD14" s="165" t="b">
        <v>0</v>
      </c>
      <c r="AE14" s="166" t="b">
        <v>0</v>
      </c>
      <c r="AF14" s="166" t="b">
        <v>0</v>
      </c>
      <c r="AG14" s="166" t="b">
        <v>0</v>
      </c>
      <c r="AH14" s="149"/>
      <c r="AI14" s="167"/>
      <c r="AJ14" s="160">
        <v>0.0</v>
      </c>
      <c r="AK14" s="169" t="str">
        <f>IFERROR(__xludf.DUMMYFUNCTION("iferror(SPARKLINE(AJ14/AI14,{""charttype"",""bar"";""max"",1;""color1"",""#c9e4b2""}))"),"")</f>
        <v/>
      </c>
      <c r="AL14" s="46"/>
      <c r="AM14" s="47"/>
      <c r="AN14" s="170"/>
    </row>
    <row r="15" ht="17.25" customHeight="1">
      <c r="A15" s="121"/>
      <c r="B15" s="160"/>
      <c r="C15" s="161" t="b">
        <v>0</v>
      </c>
      <c r="D15" s="162" t="b">
        <v>0</v>
      </c>
      <c r="E15" s="162" t="b">
        <v>0</v>
      </c>
      <c r="F15" s="162" t="b">
        <v>0</v>
      </c>
      <c r="G15" s="162" t="b">
        <v>0</v>
      </c>
      <c r="H15" s="162" t="b">
        <v>0</v>
      </c>
      <c r="I15" s="162" t="b">
        <v>0</v>
      </c>
      <c r="J15" s="163" t="b">
        <v>0</v>
      </c>
      <c r="K15" s="163" t="b">
        <v>0</v>
      </c>
      <c r="L15" s="163" t="b">
        <v>0</v>
      </c>
      <c r="M15" s="163" t="b">
        <v>0</v>
      </c>
      <c r="N15" s="163" t="b">
        <v>0</v>
      </c>
      <c r="O15" s="163" t="b">
        <v>0</v>
      </c>
      <c r="P15" s="163" t="b">
        <v>0</v>
      </c>
      <c r="Q15" s="164" t="b">
        <v>0</v>
      </c>
      <c r="R15" s="164" t="b">
        <v>0</v>
      </c>
      <c r="S15" s="164" t="b">
        <v>0</v>
      </c>
      <c r="T15" s="164" t="b">
        <v>0</v>
      </c>
      <c r="U15" s="164" t="b">
        <v>0</v>
      </c>
      <c r="V15" s="164" t="b">
        <v>0</v>
      </c>
      <c r="W15" s="164" t="b">
        <v>0</v>
      </c>
      <c r="X15" s="165" t="b">
        <v>0</v>
      </c>
      <c r="Y15" s="165" t="b">
        <v>0</v>
      </c>
      <c r="Z15" s="165" t="b">
        <v>0</v>
      </c>
      <c r="AA15" s="165" t="b">
        <v>0</v>
      </c>
      <c r="AB15" s="165" t="b">
        <v>0</v>
      </c>
      <c r="AC15" s="165" t="b">
        <v>0</v>
      </c>
      <c r="AD15" s="165" t="b">
        <v>0</v>
      </c>
      <c r="AE15" s="166" t="b">
        <v>0</v>
      </c>
      <c r="AF15" s="166" t="b">
        <v>0</v>
      </c>
      <c r="AG15" s="166" t="b">
        <v>0</v>
      </c>
      <c r="AH15" s="149"/>
      <c r="AI15" s="167"/>
      <c r="AJ15" s="160">
        <v>0.0</v>
      </c>
      <c r="AK15" s="169" t="str">
        <f>IFERROR(__xludf.DUMMYFUNCTION("iferror(SPARKLINE(AJ15/AI15,{""charttype"",""bar"";""max"",1;""color1"",""#c9e4b2""}))"),"")</f>
        <v/>
      </c>
      <c r="AL15" s="46"/>
      <c r="AM15" s="47"/>
      <c r="AN15" s="170"/>
    </row>
    <row r="16" ht="17.25" customHeight="1">
      <c r="A16" s="121"/>
      <c r="B16" s="160"/>
      <c r="C16" s="161" t="b">
        <v>0</v>
      </c>
      <c r="D16" s="162" t="b">
        <v>0</v>
      </c>
      <c r="E16" s="162" t="b">
        <v>0</v>
      </c>
      <c r="F16" s="162" t="b">
        <v>0</v>
      </c>
      <c r="G16" s="162" t="b">
        <v>0</v>
      </c>
      <c r="H16" s="162" t="b">
        <v>0</v>
      </c>
      <c r="I16" s="162" t="b">
        <v>0</v>
      </c>
      <c r="J16" s="163" t="b">
        <v>0</v>
      </c>
      <c r="K16" s="163" t="b">
        <v>0</v>
      </c>
      <c r="L16" s="163" t="b">
        <v>0</v>
      </c>
      <c r="M16" s="163" t="b">
        <v>0</v>
      </c>
      <c r="N16" s="163" t="b">
        <v>0</v>
      </c>
      <c r="O16" s="163" t="b">
        <v>0</v>
      </c>
      <c r="P16" s="163" t="b">
        <v>0</v>
      </c>
      <c r="Q16" s="164" t="b">
        <v>0</v>
      </c>
      <c r="R16" s="164" t="b">
        <v>0</v>
      </c>
      <c r="S16" s="164" t="b">
        <v>0</v>
      </c>
      <c r="T16" s="164" t="b">
        <v>0</v>
      </c>
      <c r="U16" s="164" t="b">
        <v>0</v>
      </c>
      <c r="V16" s="164" t="b">
        <v>0</v>
      </c>
      <c r="W16" s="164" t="b">
        <v>0</v>
      </c>
      <c r="X16" s="165" t="b">
        <v>0</v>
      </c>
      <c r="Y16" s="165" t="b">
        <v>0</v>
      </c>
      <c r="Z16" s="165" t="b">
        <v>0</v>
      </c>
      <c r="AA16" s="165" t="b">
        <v>0</v>
      </c>
      <c r="AB16" s="165" t="b">
        <v>0</v>
      </c>
      <c r="AC16" s="165" t="b">
        <v>0</v>
      </c>
      <c r="AD16" s="165" t="b">
        <v>0</v>
      </c>
      <c r="AE16" s="166" t="b">
        <v>0</v>
      </c>
      <c r="AF16" s="166" t="b">
        <v>0</v>
      </c>
      <c r="AG16" s="166" t="b">
        <v>0</v>
      </c>
      <c r="AH16" s="149"/>
      <c r="AI16" s="167"/>
      <c r="AJ16" s="160">
        <v>0.0</v>
      </c>
      <c r="AK16" s="169" t="str">
        <f>IFERROR(__xludf.DUMMYFUNCTION("iferror(SPARKLINE(AJ16/AI16,{""charttype"",""bar"";""max"",1;""color1"",""#c9e4b2""}))"),"")</f>
        <v/>
      </c>
      <c r="AL16" s="46"/>
      <c r="AM16" s="47"/>
      <c r="AN16" s="170"/>
    </row>
    <row r="17" ht="17.25" customHeight="1">
      <c r="A17" s="121"/>
      <c r="B17" s="160"/>
      <c r="C17" s="161" t="b">
        <v>0</v>
      </c>
      <c r="D17" s="162" t="b">
        <v>0</v>
      </c>
      <c r="E17" s="162" t="b">
        <v>0</v>
      </c>
      <c r="F17" s="162" t="b">
        <v>0</v>
      </c>
      <c r="G17" s="162" t="b">
        <v>0</v>
      </c>
      <c r="H17" s="162" t="b">
        <v>0</v>
      </c>
      <c r="I17" s="162" t="b">
        <v>0</v>
      </c>
      <c r="J17" s="163" t="b">
        <v>0</v>
      </c>
      <c r="K17" s="163" t="b">
        <v>0</v>
      </c>
      <c r="L17" s="163" t="b">
        <v>0</v>
      </c>
      <c r="M17" s="163" t="b">
        <v>0</v>
      </c>
      <c r="N17" s="163" t="b">
        <v>0</v>
      </c>
      <c r="O17" s="163" t="b">
        <v>0</v>
      </c>
      <c r="P17" s="163" t="b">
        <v>0</v>
      </c>
      <c r="Q17" s="164" t="b">
        <v>0</v>
      </c>
      <c r="R17" s="164" t="b">
        <v>0</v>
      </c>
      <c r="S17" s="164" t="b">
        <v>0</v>
      </c>
      <c r="T17" s="164" t="b">
        <v>0</v>
      </c>
      <c r="U17" s="164" t="b">
        <v>0</v>
      </c>
      <c r="V17" s="164" t="b">
        <v>0</v>
      </c>
      <c r="W17" s="164" t="b">
        <v>0</v>
      </c>
      <c r="X17" s="165" t="b">
        <v>0</v>
      </c>
      <c r="Y17" s="165" t="b">
        <v>0</v>
      </c>
      <c r="Z17" s="165" t="b">
        <v>0</v>
      </c>
      <c r="AA17" s="165" t="b">
        <v>0</v>
      </c>
      <c r="AB17" s="165" t="b">
        <v>0</v>
      </c>
      <c r="AC17" s="165" t="b">
        <v>0</v>
      </c>
      <c r="AD17" s="165" t="b">
        <v>0</v>
      </c>
      <c r="AE17" s="166" t="b">
        <v>0</v>
      </c>
      <c r="AF17" s="166" t="b">
        <v>0</v>
      </c>
      <c r="AG17" s="166" t="b">
        <v>0</v>
      </c>
      <c r="AH17" s="149"/>
      <c r="AI17" s="167"/>
      <c r="AJ17" s="160">
        <v>0.0</v>
      </c>
      <c r="AK17" s="169" t="str">
        <f>IFERROR(__xludf.DUMMYFUNCTION("iferror(SPARKLINE(AJ17/AI17,{""charttype"",""bar"";""max"",1;""color1"",""#c9e4b2""}))"),"")</f>
        <v/>
      </c>
      <c r="AL17" s="46"/>
      <c r="AM17" s="47"/>
      <c r="AN17" s="170"/>
    </row>
    <row r="18" ht="17.25" customHeight="1">
      <c r="A18" s="121"/>
      <c r="B18" s="160"/>
      <c r="C18" s="161" t="b">
        <v>0</v>
      </c>
      <c r="D18" s="162" t="b">
        <v>0</v>
      </c>
      <c r="E18" s="162" t="b">
        <v>0</v>
      </c>
      <c r="F18" s="162" t="b">
        <v>0</v>
      </c>
      <c r="G18" s="162" t="b">
        <v>0</v>
      </c>
      <c r="H18" s="162" t="b">
        <v>0</v>
      </c>
      <c r="I18" s="162" t="b">
        <v>0</v>
      </c>
      <c r="J18" s="163" t="b">
        <v>0</v>
      </c>
      <c r="K18" s="163" t="b">
        <v>0</v>
      </c>
      <c r="L18" s="163" t="b">
        <v>0</v>
      </c>
      <c r="M18" s="163" t="b">
        <v>0</v>
      </c>
      <c r="N18" s="163" t="b">
        <v>0</v>
      </c>
      <c r="O18" s="163" t="b">
        <v>0</v>
      </c>
      <c r="P18" s="163" t="b">
        <v>0</v>
      </c>
      <c r="Q18" s="164" t="b">
        <v>0</v>
      </c>
      <c r="R18" s="164" t="b">
        <v>0</v>
      </c>
      <c r="S18" s="164" t="b">
        <v>0</v>
      </c>
      <c r="T18" s="164" t="b">
        <v>0</v>
      </c>
      <c r="U18" s="164" t="b">
        <v>0</v>
      </c>
      <c r="V18" s="164" t="b">
        <v>0</v>
      </c>
      <c r="W18" s="164" t="b">
        <v>0</v>
      </c>
      <c r="X18" s="165" t="b">
        <v>0</v>
      </c>
      <c r="Y18" s="165" t="b">
        <v>0</v>
      </c>
      <c r="Z18" s="165" t="b">
        <v>0</v>
      </c>
      <c r="AA18" s="165" t="b">
        <v>0</v>
      </c>
      <c r="AB18" s="165" t="b">
        <v>0</v>
      </c>
      <c r="AC18" s="165" t="b">
        <v>0</v>
      </c>
      <c r="AD18" s="165" t="b">
        <v>0</v>
      </c>
      <c r="AE18" s="166" t="b">
        <v>0</v>
      </c>
      <c r="AF18" s="166" t="b">
        <v>0</v>
      </c>
      <c r="AG18" s="166" t="b">
        <v>0</v>
      </c>
      <c r="AH18" s="149"/>
      <c r="AI18" s="167"/>
      <c r="AJ18" s="160">
        <v>0.0</v>
      </c>
      <c r="AK18" s="169" t="str">
        <f>IFERROR(__xludf.DUMMYFUNCTION("iferror(SPARKLINE(AJ18/AI18,{""charttype"",""bar"";""max"",1;""color1"",""#c9e4b2""}))"),"")</f>
        <v/>
      </c>
      <c r="AL18" s="46"/>
      <c r="AM18" s="47"/>
      <c r="AN18" s="170"/>
    </row>
    <row r="19" ht="17.25" customHeight="1">
      <c r="A19" s="121"/>
      <c r="B19" s="160"/>
      <c r="C19" s="161" t="b">
        <v>0</v>
      </c>
      <c r="D19" s="162" t="b">
        <v>0</v>
      </c>
      <c r="E19" s="162" t="b">
        <v>0</v>
      </c>
      <c r="F19" s="162" t="b">
        <v>0</v>
      </c>
      <c r="G19" s="162" t="b">
        <v>0</v>
      </c>
      <c r="H19" s="162" t="b">
        <v>0</v>
      </c>
      <c r="I19" s="162" t="b">
        <v>0</v>
      </c>
      <c r="J19" s="163" t="b">
        <v>0</v>
      </c>
      <c r="K19" s="163" t="b">
        <v>0</v>
      </c>
      <c r="L19" s="163" t="b">
        <v>0</v>
      </c>
      <c r="M19" s="163" t="b">
        <v>0</v>
      </c>
      <c r="N19" s="163" t="b">
        <v>0</v>
      </c>
      <c r="O19" s="163" t="b">
        <v>0</v>
      </c>
      <c r="P19" s="163" t="b">
        <v>0</v>
      </c>
      <c r="Q19" s="164" t="b">
        <v>0</v>
      </c>
      <c r="R19" s="164" t="b">
        <v>0</v>
      </c>
      <c r="S19" s="164" t="b">
        <v>0</v>
      </c>
      <c r="T19" s="164" t="b">
        <v>0</v>
      </c>
      <c r="U19" s="164" t="b">
        <v>0</v>
      </c>
      <c r="V19" s="164" t="b">
        <v>0</v>
      </c>
      <c r="W19" s="164" t="b">
        <v>0</v>
      </c>
      <c r="X19" s="165" t="b">
        <v>0</v>
      </c>
      <c r="Y19" s="165" t="b">
        <v>0</v>
      </c>
      <c r="Z19" s="165" t="b">
        <v>0</v>
      </c>
      <c r="AA19" s="165" t="b">
        <v>0</v>
      </c>
      <c r="AB19" s="165" t="b">
        <v>0</v>
      </c>
      <c r="AC19" s="165" t="b">
        <v>0</v>
      </c>
      <c r="AD19" s="165" t="b">
        <v>0</v>
      </c>
      <c r="AE19" s="166" t="b">
        <v>0</v>
      </c>
      <c r="AF19" s="166" t="b">
        <v>0</v>
      </c>
      <c r="AG19" s="166" t="b">
        <v>0</v>
      </c>
      <c r="AH19" s="149"/>
      <c r="AI19" s="167"/>
      <c r="AJ19" s="160">
        <v>0.0</v>
      </c>
      <c r="AK19" s="169" t="str">
        <f>IFERROR(__xludf.DUMMYFUNCTION("iferror(SPARKLINE(AJ19/AI19,{""charttype"",""bar"";""max"",1;""color1"",""#c9e4b2""}))"),"")</f>
        <v/>
      </c>
      <c r="AL19" s="46"/>
      <c r="AM19" s="47"/>
      <c r="AN19" s="170"/>
    </row>
    <row r="20" ht="17.25" customHeight="1">
      <c r="A20" s="121"/>
      <c r="B20" s="160"/>
      <c r="C20" s="161" t="b">
        <v>0</v>
      </c>
      <c r="D20" s="162" t="b">
        <v>0</v>
      </c>
      <c r="E20" s="162" t="b">
        <v>0</v>
      </c>
      <c r="F20" s="162" t="b">
        <v>0</v>
      </c>
      <c r="G20" s="162" t="b">
        <v>0</v>
      </c>
      <c r="H20" s="162" t="b">
        <v>0</v>
      </c>
      <c r="I20" s="162" t="b">
        <v>0</v>
      </c>
      <c r="J20" s="163" t="b">
        <v>0</v>
      </c>
      <c r="K20" s="163" t="b">
        <v>0</v>
      </c>
      <c r="L20" s="163" t="b">
        <v>0</v>
      </c>
      <c r="M20" s="163" t="b">
        <v>0</v>
      </c>
      <c r="N20" s="163" t="b">
        <v>0</v>
      </c>
      <c r="O20" s="163" t="b">
        <v>0</v>
      </c>
      <c r="P20" s="163" t="b">
        <v>0</v>
      </c>
      <c r="Q20" s="164" t="b">
        <v>0</v>
      </c>
      <c r="R20" s="164" t="b">
        <v>0</v>
      </c>
      <c r="S20" s="164" t="b">
        <v>0</v>
      </c>
      <c r="T20" s="164" t="b">
        <v>0</v>
      </c>
      <c r="U20" s="164" t="b">
        <v>0</v>
      </c>
      <c r="V20" s="164" t="b">
        <v>0</v>
      </c>
      <c r="W20" s="164" t="b">
        <v>0</v>
      </c>
      <c r="X20" s="165" t="b">
        <v>0</v>
      </c>
      <c r="Y20" s="165" t="b">
        <v>0</v>
      </c>
      <c r="Z20" s="165" t="b">
        <v>0</v>
      </c>
      <c r="AA20" s="165" t="b">
        <v>0</v>
      </c>
      <c r="AB20" s="165" t="b">
        <v>0</v>
      </c>
      <c r="AC20" s="165" t="b">
        <v>0</v>
      </c>
      <c r="AD20" s="165" t="b">
        <v>0</v>
      </c>
      <c r="AE20" s="166" t="b">
        <v>0</v>
      </c>
      <c r="AF20" s="166" t="b">
        <v>0</v>
      </c>
      <c r="AG20" s="166" t="b">
        <v>0</v>
      </c>
      <c r="AH20" s="149"/>
      <c r="AI20" s="167"/>
      <c r="AJ20" s="160">
        <v>0.0</v>
      </c>
      <c r="AK20" s="169" t="str">
        <f>IFERROR(__xludf.DUMMYFUNCTION("iferror(SPARKLINE(AJ20/AI20,{""charttype"",""bar"";""max"",1;""color1"",""#c9e4b2""}))"),"")</f>
        <v/>
      </c>
      <c r="AL20" s="46"/>
      <c r="AM20" s="47"/>
      <c r="AN20" s="170"/>
    </row>
    <row r="21" ht="17.25" customHeight="1">
      <c r="A21" s="121"/>
      <c r="B21" s="160"/>
      <c r="C21" s="171" t="b">
        <v>0</v>
      </c>
      <c r="D21" s="172" t="b">
        <v>0</v>
      </c>
      <c r="E21" s="172" t="b">
        <v>0</v>
      </c>
      <c r="F21" s="172" t="b">
        <v>0</v>
      </c>
      <c r="G21" s="172" t="b">
        <v>0</v>
      </c>
      <c r="H21" s="172" t="b">
        <v>0</v>
      </c>
      <c r="I21" s="172" t="b">
        <v>0</v>
      </c>
      <c r="J21" s="173" t="b">
        <v>0</v>
      </c>
      <c r="K21" s="173" t="b">
        <v>0</v>
      </c>
      <c r="L21" s="173" t="b">
        <v>0</v>
      </c>
      <c r="M21" s="173" t="b">
        <v>0</v>
      </c>
      <c r="N21" s="173" t="b">
        <v>0</v>
      </c>
      <c r="O21" s="173" t="b">
        <v>0</v>
      </c>
      <c r="P21" s="173" t="b">
        <v>0</v>
      </c>
      <c r="Q21" s="174" t="b">
        <v>0</v>
      </c>
      <c r="R21" s="174" t="b">
        <v>0</v>
      </c>
      <c r="S21" s="174" t="b">
        <v>0</v>
      </c>
      <c r="T21" s="174" t="b">
        <v>0</v>
      </c>
      <c r="U21" s="174" t="b">
        <v>0</v>
      </c>
      <c r="V21" s="174" t="b">
        <v>0</v>
      </c>
      <c r="W21" s="174" t="b">
        <v>0</v>
      </c>
      <c r="X21" s="175" t="b">
        <v>0</v>
      </c>
      <c r="Y21" s="175" t="b">
        <v>0</v>
      </c>
      <c r="Z21" s="175" t="b">
        <v>0</v>
      </c>
      <c r="AA21" s="175" t="b">
        <v>0</v>
      </c>
      <c r="AB21" s="175" t="b">
        <v>0</v>
      </c>
      <c r="AC21" s="175" t="b">
        <v>0</v>
      </c>
      <c r="AD21" s="175" t="b">
        <v>0</v>
      </c>
      <c r="AE21" s="176" t="b">
        <v>0</v>
      </c>
      <c r="AF21" s="176" t="b">
        <v>0</v>
      </c>
      <c r="AG21" s="176" t="b">
        <v>0</v>
      </c>
      <c r="AH21" s="149"/>
      <c r="AI21" s="167"/>
      <c r="AJ21" s="160">
        <v>0.0</v>
      </c>
      <c r="AK21" s="169" t="str">
        <f>IFERROR(__xludf.DUMMYFUNCTION("iferror(SPARKLINE(AJ21/AI21,{""charttype"",""bar"";""max"",1;""color1"",""#c9e4b2""}))"),"")</f>
        <v/>
      </c>
      <c r="AL21" s="46"/>
      <c r="AM21" s="47"/>
      <c r="AN21" s="170"/>
    </row>
    <row r="22" ht="17.25" customHeight="1">
      <c r="A22" s="121"/>
      <c r="B22" s="121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49"/>
      <c r="AK22" s="149"/>
      <c r="AL22" s="149"/>
      <c r="AM22" s="149"/>
      <c r="AN22" s="149"/>
    </row>
    <row r="23" ht="17.25" customHeight="1">
      <c r="A23" s="121"/>
      <c r="B23" s="219" t="s">
        <v>26</v>
      </c>
      <c r="C23" s="178">
        <f t="shared" ref="C23:AG23" si="1">COUNTIF(C10:C21, TRUE)/COUNTA(C10:C21)</f>
        <v>0</v>
      </c>
      <c r="D23" s="178">
        <f t="shared" si="1"/>
        <v>0</v>
      </c>
      <c r="E23" s="178">
        <f t="shared" si="1"/>
        <v>0</v>
      </c>
      <c r="F23" s="178">
        <f t="shared" si="1"/>
        <v>0</v>
      </c>
      <c r="G23" s="178">
        <f t="shared" si="1"/>
        <v>0</v>
      </c>
      <c r="H23" s="178">
        <f t="shared" si="1"/>
        <v>0</v>
      </c>
      <c r="I23" s="178">
        <f t="shared" si="1"/>
        <v>0</v>
      </c>
      <c r="J23" s="178">
        <f t="shared" si="1"/>
        <v>0</v>
      </c>
      <c r="K23" s="178">
        <f t="shared" si="1"/>
        <v>0</v>
      </c>
      <c r="L23" s="178">
        <f t="shared" si="1"/>
        <v>0</v>
      </c>
      <c r="M23" s="178">
        <f t="shared" si="1"/>
        <v>0</v>
      </c>
      <c r="N23" s="178">
        <f t="shared" si="1"/>
        <v>0</v>
      </c>
      <c r="O23" s="178">
        <f t="shared" si="1"/>
        <v>0</v>
      </c>
      <c r="P23" s="178">
        <f t="shared" si="1"/>
        <v>0</v>
      </c>
      <c r="Q23" s="178">
        <f t="shared" si="1"/>
        <v>0</v>
      </c>
      <c r="R23" s="178">
        <f t="shared" si="1"/>
        <v>0</v>
      </c>
      <c r="S23" s="178">
        <f t="shared" si="1"/>
        <v>0</v>
      </c>
      <c r="T23" s="178">
        <f t="shared" si="1"/>
        <v>0</v>
      </c>
      <c r="U23" s="178">
        <f t="shared" si="1"/>
        <v>0</v>
      </c>
      <c r="V23" s="178">
        <f t="shared" si="1"/>
        <v>0</v>
      </c>
      <c r="W23" s="178">
        <f t="shared" si="1"/>
        <v>0</v>
      </c>
      <c r="X23" s="178">
        <f t="shared" si="1"/>
        <v>0</v>
      </c>
      <c r="Y23" s="178">
        <f t="shared" si="1"/>
        <v>0</v>
      </c>
      <c r="Z23" s="178">
        <f t="shared" si="1"/>
        <v>0</v>
      </c>
      <c r="AA23" s="178">
        <f t="shared" si="1"/>
        <v>0</v>
      </c>
      <c r="AB23" s="178">
        <f t="shared" si="1"/>
        <v>0</v>
      </c>
      <c r="AC23" s="178">
        <f t="shared" si="1"/>
        <v>0</v>
      </c>
      <c r="AD23" s="178">
        <f t="shared" si="1"/>
        <v>0</v>
      </c>
      <c r="AE23" s="178">
        <f t="shared" si="1"/>
        <v>0</v>
      </c>
      <c r="AF23" s="178">
        <f t="shared" si="1"/>
        <v>0</v>
      </c>
      <c r="AG23" s="178">
        <f t="shared" si="1"/>
        <v>0</v>
      </c>
      <c r="AH23" s="149"/>
      <c r="AI23" s="179"/>
      <c r="AJ23" s="180"/>
      <c r="AK23" s="149"/>
      <c r="AL23" s="149"/>
      <c r="AM23" s="149"/>
      <c r="AN23" s="149"/>
    </row>
    <row r="24" ht="17.25" customHeight="1">
      <c r="A24" s="121"/>
      <c r="B24" s="219" t="s">
        <v>51</v>
      </c>
      <c r="C24" s="181">
        <f t="shared" ref="C24:AG24" si="2">COUNTIF(C10:C21, true)</f>
        <v>0</v>
      </c>
      <c r="D24" s="181">
        <f t="shared" si="2"/>
        <v>0</v>
      </c>
      <c r="E24" s="181">
        <f t="shared" si="2"/>
        <v>0</v>
      </c>
      <c r="F24" s="181">
        <f t="shared" si="2"/>
        <v>0</v>
      </c>
      <c r="G24" s="181">
        <f t="shared" si="2"/>
        <v>0</v>
      </c>
      <c r="H24" s="181">
        <f t="shared" si="2"/>
        <v>0</v>
      </c>
      <c r="I24" s="181">
        <f t="shared" si="2"/>
        <v>0</v>
      </c>
      <c r="J24" s="181">
        <f t="shared" si="2"/>
        <v>0</v>
      </c>
      <c r="K24" s="181">
        <f t="shared" si="2"/>
        <v>0</v>
      </c>
      <c r="L24" s="181">
        <f t="shared" si="2"/>
        <v>0</v>
      </c>
      <c r="M24" s="181">
        <f t="shared" si="2"/>
        <v>0</v>
      </c>
      <c r="N24" s="181">
        <f t="shared" si="2"/>
        <v>0</v>
      </c>
      <c r="O24" s="181">
        <f t="shared" si="2"/>
        <v>0</v>
      </c>
      <c r="P24" s="181">
        <f t="shared" si="2"/>
        <v>0</v>
      </c>
      <c r="Q24" s="181">
        <f t="shared" si="2"/>
        <v>0</v>
      </c>
      <c r="R24" s="181">
        <f t="shared" si="2"/>
        <v>0</v>
      </c>
      <c r="S24" s="181">
        <f t="shared" si="2"/>
        <v>0</v>
      </c>
      <c r="T24" s="181">
        <f t="shared" si="2"/>
        <v>0</v>
      </c>
      <c r="U24" s="181">
        <f t="shared" si="2"/>
        <v>0</v>
      </c>
      <c r="V24" s="181">
        <f t="shared" si="2"/>
        <v>0</v>
      </c>
      <c r="W24" s="181">
        <f t="shared" si="2"/>
        <v>0</v>
      </c>
      <c r="X24" s="181">
        <f t="shared" si="2"/>
        <v>0</v>
      </c>
      <c r="Y24" s="181">
        <f t="shared" si="2"/>
        <v>0</v>
      </c>
      <c r="Z24" s="181">
        <f t="shared" si="2"/>
        <v>0</v>
      </c>
      <c r="AA24" s="181">
        <f t="shared" si="2"/>
        <v>0</v>
      </c>
      <c r="AB24" s="181">
        <f t="shared" si="2"/>
        <v>0</v>
      </c>
      <c r="AC24" s="181">
        <f t="shared" si="2"/>
        <v>0</v>
      </c>
      <c r="AD24" s="181">
        <f t="shared" si="2"/>
        <v>0</v>
      </c>
      <c r="AE24" s="181">
        <f t="shared" si="2"/>
        <v>0</v>
      </c>
      <c r="AF24" s="181">
        <f t="shared" si="2"/>
        <v>0</v>
      </c>
      <c r="AG24" s="181">
        <f t="shared" si="2"/>
        <v>0</v>
      </c>
      <c r="AH24" s="149"/>
      <c r="AI24" s="179"/>
      <c r="AJ24" s="180"/>
      <c r="AK24" s="149"/>
      <c r="AL24" s="149"/>
      <c r="AM24" s="149"/>
      <c r="AN24" s="149"/>
    </row>
    <row r="25" ht="17.25" customHeight="1">
      <c r="A25" s="121"/>
      <c r="B25" s="219" t="s">
        <v>52</v>
      </c>
      <c r="C25" s="182">
        <f t="shared" ref="C25:AG25" si="3">COUNTIF(C10:C21, false)</f>
        <v>12</v>
      </c>
      <c r="D25" s="182">
        <f t="shared" si="3"/>
        <v>12</v>
      </c>
      <c r="E25" s="182">
        <f t="shared" si="3"/>
        <v>12</v>
      </c>
      <c r="F25" s="182">
        <f t="shared" si="3"/>
        <v>12</v>
      </c>
      <c r="G25" s="182">
        <f t="shared" si="3"/>
        <v>12</v>
      </c>
      <c r="H25" s="182">
        <f t="shared" si="3"/>
        <v>12</v>
      </c>
      <c r="I25" s="182">
        <f t="shared" si="3"/>
        <v>12</v>
      </c>
      <c r="J25" s="182">
        <f t="shared" si="3"/>
        <v>12</v>
      </c>
      <c r="K25" s="182">
        <f t="shared" si="3"/>
        <v>12</v>
      </c>
      <c r="L25" s="182">
        <f t="shared" si="3"/>
        <v>12</v>
      </c>
      <c r="M25" s="182">
        <f t="shared" si="3"/>
        <v>12</v>
      </c>
      <c r="N25" s="182">
        <f t="shared" si="3"/>
        <v>12</v>
      </c>
      <c r="O25" s="182">
        <f t="shared" si="3"/>
        <v>12</v>
      </c>
      <c r="P25" s="182">
        <f t="shared" si="3"/>
        <v>12</v>
      </c>
      <c r="Q25" s="182">
        <f t="shared" si="3"/>
        <v>12</v>
      </c>
      <c r="R25" s="182">
        <f t="shared" si="3"/>
        <v>12</v>
      </c>
      <c r="S25" s="182">
        <f t="shared" si="3"/>
        <v>12</v>
      </c>
      <c r="T25" s="182">
        <f t="shared" si="3"/>
        <v>12</v>
      </c>
      <c r="U25" s="182">
        <f t="shared" si="3"/>
        <v>12</v>
      </c>
      <c r="V25" s="182">
        <f t="shared" si="3"/>
        <v>12</v>
      </c>
      <c r="W25" s="182">
        <f t="shared" si="3"/>
        <v>12</v>
      </c>
      <c r="X25" s="182">
        <f t="shared" si="3"/>
        <v>12</v>
      </c>
      <c r="Y25" s="182">
        <f t="shared" si="3"/>
        <v>12</v>
      </c>
      <c r="Z25" s="182">
        <f t="shared" si="3"/>
        <v>12</v>
      </c>
      <c r="AA25" s="182">
        <f t="shared" si="3"/>
        <v>12</v>
      </c>
      <c r="AB25" s="182">
        <f t="shared" si="3"/>
        <v>12</v>
      </c>
      <c r="AC25" s="182">
        <f t="shared" si="3"/>
        <v>12</v>
      </c>
      <c r="AD25" s="182">
        <f t="shared" si="3"/>
        <v>12</v>
      </c>
      <c r="AE25" s="182">
        <f t="shared" si="3"/>
        <v>12</v>
      </c>
      <c r="AF25" s="182">
        <f t="shared" si="3"/>
        <v>12</v>
      </c>
      <c r="AG25" s="182">
        <f t="shared" si="3"/>
        <v>12</v>
      </c>
      <c r="AH25" s="149"/>
      <c r="AI25" s="179"/>
      <c r="AJ25" s="180"/>
      <c r="AK25" s="149"/>
      <c r="AL25" s="149"/>
      <c r="AM25" s="149"/>
      <c r="AN25" s="149"/>
    </row>
    <row r="26" ht="17.25" customHeight="1">
      <c r="A26" s="121"/>
      <c r="B26" s="121"/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  <c r="AA26" s="149"/>
      <c r="AB26" s="149"/>
      <c r="AC26" s="149"/>
      <c r="AD26" s="149"/>
      <c r="AE26" s="149"/>
      <c r="AF26" s="149"/>
      <c r="AG26" s="149"/>
      <c r="AH26" s="149"/>
      <c r="AI26" s="179"/>
      <c r="AJ26" s="180"/>
      <c r="AK26" s="149"/>
      <c r="AL26" s="149"/>
      <c r="AM26" s="149"/>
      <c r="AN26" s="149"/>
    </row>
    <row r="27" ht="17.25" customHeight="1">
      <c r="A27" s="121"/>
      <c r="B27" s="121"/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  <c r="AA27" s="149"/>
      <c r="AB27" s="149"/>
      <c r="AC27" s="149"/>
      <c r="AD27" s="149"/>
      <c r="AE27" s="149"/>
      <c r="AF27" s="149"/>
      <c r="AG27" s="149"/>
      <c r="AH27" s="149"/>
      <c r="AI27" s="179"/>
      <c r="AJ27" s="180"/>
      <c r="AK27" s="149"/>
      <c r="AL27" s="149"/>
      <c r="AM27" s="149"/>
      <c r="AN27" s="149"/>
    </row>
    <row r="28" ht="17.25" customHeight="1">
      <c r="A28" s="121"/>
      <c r="B28" s="121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  <c r="AB28" s="149"/>
      <c r="AC28" s="149"/>
      <c r="AD28" s="149"/>
      <c r="AE28" s="149"/>
      <c r="AF28" s="149"/>
      <c r="AG28" s="149"/>
      <c r="AH28" s="149"/>
      <c r="AI28" s="179"/>
      <c r="AJ28" s="180"/>
      <c r="AK28" s="149"/>
      <c r="AL28" s="149"/>
      <c r="AM28" s="149"/>
      <c r="AN28" s="149"/>
    </row>
    <row r="29" ht="17.25" customHeight="1">
      <c r="A29" s="121"/>
      <c r="B29" s="121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79"/>
      <c r="AJ29" s="180"/>
      <c r="AK29" s="149"/>
      <c r="AL29" s="149"/>
      <c r="AM29" s="149"/>
      <c r="AN29" s="149"/>
    </row>
    <row r="30" ht="17.25" customHeight="1">
      <c r="A30" s="121"/>
      <c r="B30" s="121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49"/>
      <c r="AE30" s="149"/>
      <c r="AF30" s="149"/>
      <c r="AG30" s="149"/>
      <c r="AH30" s="149"/>
      <c r="AI30" s="179"/>
      <c r="AJ30" s="180"/>
      <c r="AK30" s="149"/>
      <c r="AL30" s="149"/>
      <c r="AM30" s="149"/>
      <c r="AN30" s="149"/>
    </row>
    <row r="31" ht="17.25" customHeight="1">
      <c r="A31" s="121"/>
      <c r="B31" s="121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  <c r="AI31" s="179"/>
      <c r="AJ31" s="180"/>
      <c r="AK31" s="149"/>
      <c r="AL31" s="149"/>
      <c r="AM31" s="149"/>
      <c r="AN31" s="149"/>
    </row>
    <row r="32" ht="17.25" customHeight="1">
      <c r="A32" s="121"/>
      <c r="B32" s="121"/>
      <c r="C32" s="149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79"/>
      <c r="AJ32" s="180"/>
      <c r="AK32" s="149"/>
      <c r="AL32" s="149"/>
      <c r="AM32" s="149"/>
      <c r="AN32" s="149"/>
    </row>
    <row r="33" ht="17.25" customHeight="1">
      <c r="A33" s="121"/>
      <c r="B33" s="121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149"/>
      <c r="AG33" s="149"/>
      <c r="AH33" s="149"/>
      <c r="AI33" s="179"/>
      <c r="AJ33" s="180"/>
      <c r="AK33" s="149"/>
      <c r="AL33" s="149"/>
      <c r="AM33" s="149"/>
      <c r="AN33" s="149"/>
    </row>
    <row r="34" ht="17.25" customHeight="1">
      <c r="A34" s="121"/>
      <c r="B34" s="121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  <c r="AC34" s="149"/>
      <c r="AD34" s="149"/>
      <c r="AE34" s="149"/>
      <c r="AF34" s="149"/>
      <c r="AG34" s="149"/>
      <c r="AH34" s="149"/>
      <c r="AI34" s="179"/>
      <c r="AJ34" s="180"/>
      <c r="AK34" s="149"/>
      <c r="AL34" s="149"/>
      <c r="AM34" s="149"/>
      <c r="AN34" s="149"/>
    </row>
    <row r="35" ht="17.25" customHeight="1">
      <c r="A35" s="121"/>
      <c r="B35" s="121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149"/>
      <c r="AE35" s="149"/>
      <c r="AF35" s="149"/>
      <c r="AG35" s="149"/>
      <c r="AH35" s="149"/>
      <c r="AI35" s="183"/>
      <c r="AJ35" s="183"/>
      <c r="AK35" s="149"/>
      <c r="AL35" s="149"/>
      <c r="AM35" s="149"/>
      <c r="AN35" s="149"/>
    </row>
    <row r="36" ht="17.25" customHeight="1">
      <c r="A36" s="121"/>
      <c r="B36" s="184" t="s">
        <v>53</v>
      </c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7"/>
      <c r="AH36" s="149"/>
      <c r="AI36" s="184" t="s">
        <v>54</v>
      </c>
      <c r="AJ36" s="46"/>
      <c r="AK36" s="46"/>
      <c r="AL36" s="46"/>
      <c r="AM36" s="47"/>
      <c r="AN36" s="149"/>
    </row>
    <row r="37" ht="17.25" customHeight="1">
      <c r="A37" s="121"/>
      <c r="B37" s="185" t="s">
        <v>55</v>
      </c>
      <c r="C37" s="186"/>
      <c r="D37" s="186"/>
      <c r="E37" s="186"/>
      <c r="F37" s="186"/>
      <c r="G37" s="186"/>
      <c r="H37" s="186"/>
      <c r="I37" s="186"/>
      <c r="J37" s="186"/>
      <c r="K37" s="186"/>
      <c r="L37" s="186"/>
      <c r="M37" s="186"/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  <c r="AA37" s="186"/>
      <c r="AB37" s="186"/>
      <c r="AC37" s="186"/>
      <c r="AD37" s="186"/>
      <c r="AE37" s="186"/>
      <c r="AF37" s="186"/>
      <c r="AG37" s="186"/>
      <c r="AH37" s="149"/>
      <c r="AI37" s="187" t="str">
        <f t="shared" ref="AI37:AI39" si="4">iferror(Average(C37:AG37), "")</f>
        <v/>
      </c>
      <c r="AJ37" s="46"/>
      <c r="AK37" s="46"/>
      <c r="AL37" s="46"/>
      <c r="AM37" s="47"/>
      <c r="AN37" s="149"/>
    </row>
    <row r="38" ht="17.25" customHeight="1">
      <c r="A38" s="121"/>
      <c r="B38" s="185" t="s">
        <v>56</v>
      </c>
      <c r="C38" s="188"/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88"/>
      <c r="P38" s="188"/>
      <c r="Q38" s="188"/>
      <c r="R38" s="188"/>
      <c r="S38" s="188"/>
      <c r="T38" s="188"/>
      <c r="U38" s="188"/>
      <c r="V38" s="188"/>
      <c r="W38" s="188"/>
      <c r="X38" s="188"/>
      <c r="Y38" s="188"/>
      <c r="Z38" s="188"/>
      <c r="AA38" s="188"/>
      <c r="AB38" s="188"/>
      <c r="AC38" s="188"/>
      <c r="AD38" s="188"/>
      <c r="AE38" s="188"/>
      <c r="AF38" s="188"/>
      <c r="AG38" s="188"/>
      <c r="AH38" s="149"/>
      <c r="AI38" s="187" t="str">
        <f t="shared" si="4"/>
        <v/>
      </c>
      <c r="AJ38" s="46"/>
      <c r="AK38" s="46"/>
      <c r="AL38" s="46"/>
      <c r="AM38" s="47"/>
      <c r="AN38" s="149"/>
    </row>
    <row r="39" ht="17.25" customHeight="1">
      <c r="A39" s="121"/>
      <c r="B39" s="185" t="s">
        <v>63</v>
      </c>
      <c r="C39" s="189"/>
      <c r="D39" s="189"/>
      <c r="E39" s="189"/>
      <c r="F39" s="189"/>
      <c r="G39" s="189"/>
      <c r="H39" s="189"/>
      <c r="I39" s="189"/>
      <c r="J39" s="189"/>
      <c r="K39" s="189"/>
      <c r="L39" s="189"/>
      <c r="M39" s="189"/>
      <c r="N39" s="189"/>
      <c r="O39" s="189"/>
      <c r="P39" s="189"/>
      <c r="Q39" s="189"/>
      <c r="R39" s="189"/>
      <c r="S39" s="189"/>
      <c r="T39" s="189"/>
      <c r="U39" s="189"/>
      <c r="V39" s="189"/>
      <c r="W39" s="189"/>
      <c r="X39" s="189"/>
      <c r="Y39" s="189"/>
      <c r="Z39" s="189"/>
      <c r="AA39" s="189"/>
      <c r="AB39" s="189"/>
      <c r="AC39" s="189"/>
      <c r="AD39" s="189"/>
      <c r="AE39" s="189"/>
      <c r="AF39" s="189"/>
      <c r="AG39" s="189"/>
      <c r="AH39" s="149"/>
      <c r="AI39" s="187" t="str">
        <f t="shared" si="4"/>
        <v/>
      </c>
      <c r="AJ39" s="46"/>
      <c r="AK39" s="46"/>
      <c r="AL39" s="46"/>
      <c r="AM39" s="47"/>
      <c r="AN39" s="149"/>
    </row>
    <row r="40" ht="17.25" customHeight="1">
      <c r="A40" s="121"/>
      <c r="B40" s="121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  <c r="AK40" s="149"/>
      <c r="AL40" s="149"/>
      <c r="AM40" s="149"/>
      <c r="AN40" s="149"/>
    </row>
    <row r="41" ht="17.25" customHeight="1">
      <c r="A41" s="121"/>
      <c r="B41" s="121"/>
      <c r="C41" s="149"/>
      <c r="D41" s="149"/>
      <c r="E41" s="149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  <c r="AB41" s="149"/>
      <c r="AC41" s="149"/>
      <c r="AD41" s="149"/>
      <c r="AE41" s="149"/>
      <c r="AF41" s="149"/>
      <c r="AG41" s="149"/>
      <c r="AH41" s="149"/>
      <c r="AI41" s="149"/>
      <c r="AJ41" s="149"/>
      <c r="AK41" s="149"/>
      <c r="AL41" s="149"/>
      <c r="AM41" s="149"/>
      <c r="AN41" s="149"/>
    </row>
    <row r="42" ht="17.25" customHeight="1">
      <c r="A42" s="121"/>
      <c r="B42" s="136" t="s">
        <v>58</v>
      </c>
      <c r="C42" s="190" t="s">
        <v>44</v>
      </c>
      <c r="D42" s="46"/>
      <c r="E42" s="46"/>
      <c r="F42" s="46"/>
      <c r="G42" s="46"/>
      <c r="H42" s="47"/>
      <c r="I42" s="151"/>
      <c r="J42" s="191" t="s">
        <v>45</v>
      </c>
      <c r="K42" s="46"/>
      <c r="L42" s="46"/>
      <c r="M42" s="46"/>
      <c r="N42" s="46"/>
      <c r="O42" s="47"/>
      <c r="P42" s="152"/>
      <c r="Q42" s="192" t="s">
        <v>46</v>
      </c>
      <c r="R42" s="46"/>
      <c r="S42" s="46"/>
      <c r="T42" s="46"/>
      <c r="U42" s="46"/>
      <c r="V42" s="47"/>
      <c r="W42" s="154"/>
      <c r="X42" s="193" t="s">
        <v>47</v>
      </c>
      <c r="Y42" s="46"/>
      <c r="Z42" s="46"/>
      <c r="AA42" s="46"/>
      <c r="AB42" s="46"/>
      <c r="AC42" s="47"/>
      <c r="AD42" s="153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</row>
    <row r="43" ht="17.25" customHeight="1">
      <c r="A43" s="121"/>
      <c r="B43" s="86"/>
      <c r="C43" s="194"/>
      <c r="D43" s="46"/>
      <c r="E43" s="46"/>
      <c r="F43" s="46"/>
      <c r="G43" s="46"/>
      <c r="H43" s="47"/>
      <c r="I43" s="195" t="b">
        <v>0</v>
      </c>
      <c r="J43" s="196"/>
      <c r="K43" s="46"/>
      <c r="L43" s="46"/>
      <c r="M43" s="46"/>
      <c r="N43" s="46"/>
      <c r="O43" s="47"/>
      <c r="P43" s="197" t="b">
        <v>0</v>
      </c>
      <c r="Q43" s="198"/>
      <c r="R43" s="46"/>
      <c r="S43" s="46"/>
      <c r="T43" s="46"/>
      <c r="U43" s="46"/>
      <c r="V43" s="47"/>
      <c r="W43" s="199" t="b">
        <v>0</v>
      </c>
      <c r="X43" s="200"/>
      <c r="Y43" s="46"/>
      <c r="Z43" s="46"/>
      <c r="AA43" s="46"/>
      <c r="AB43" s="46"/>
      <c r="AC43" s="47"/>
      <c r="AD43" s="201" t="b">
        <v>0</v>
      </c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</row>
    <row r="44" ht="17.25" customHeight="1">
      <c r="A44" s="121"/>
      <c r="B44" s="121"/>
      <c r="C44" s="194"/>
      <c r="D44" s="46"/>
      <c r="E44" s="46"/>
      <c r="F44" s="46"/>
      <c r="G44" s="46"/>
      <c r="H44" s="47"/>
      <c r="I44" s="195" t="b">
        <v>0</v>
      </c>
      <c r="J44" s="196"/>
      <c r="K44" s="46"/>
      <c r="L44" s="46"/>
      <c r="M44" s="46"/>
      <c r="N44" s="46"/>
      <c r="O44" s="47"/>
      <c r="P44" s="197" t="b">
        <v>0</v>
      </c>
      <c r="Q44" s="198"/>
      <c r="R44" s="46"/>
      <c r="S44" s="46"/>
      <c r="T44" s="46"/>
      <c r="U44" s="46"/>
      <c r="V44" s="47"/>
      <c r="W44" s="199" t="b">
        <v>0</v>
      </c>
      <c r="X44" s="200"/>
      <c r="Y44" s="46"/>
      <c r="Z44" s="46"/>
      <c r="AA44" s="46"/>
      <c r="AB44" s="46"/>
      <c r="AC44" s="47"/>
      <c r="AD44" s="201" t="b">
        <v>0</v>
      </c>
      <c r="AE44" s="121"/>
      <c r="AF44" s="121"/>
      <c r="AG44" s="202" t="s">
        <v>59</v>
      </c>
      <c r="AH44" s="121"/>
      <c r="AI44" s="121"/>
      <c r="AJ44" s="121"/>
      <c r="AK44" s="121"/>
      <c r="AL44" s="121"/>
      <c r="AM44" s="121"/>
      <c r="AN44" s="121"/>
    </row>
    <row r="45" ht="17.25" customHeight="1">
      <c r="A45" s="121"/>
      <c r="B45" s="121"/>
      <c r="C45" s="194"/>
      <c r="D45" s="46"/>
      <c r="E45" s="46"/>
      <c r="F45" s="46"/>
      <c r="G45" s="46"/>
      <c r="H45" s="47"/>
      <c r="I45" s="195" t="b">
        <v>0</v>
      </c>
      <c r="J45" s="196"/>
      <c r="K45" s="46"/>
      <c r="L45" s="46"/>
      <c r="M45" s="46"/>
      <c r="N45" s="46"/>
      <c r="O45" s="47"/>
      <c r="P45" s="197" t="b">
        <v>0</v>
      </c>
      <c r="Q45" s="198"/>
      <c r="R45" s="46"/>
      <c r="S45" s="46"/>
      <c r="T45" s="46"/>
      <c r="U45" s="46"/>
      <c r="V45" s="47"/>
      <c r="W45" s="199" t="b">
        <v>0</v>
      </c>
      <c r="X45" s="200"/>
      <c r="Y45" s="46"/>
      <c r="Z45" s="46"/>
      <c r="AA45" s="46"/>
      <c r="AB45" s="46"/>
      <c r="AC45" s="47"/>
      <c r="AD45" s="201" t="b">
        <v>0</v>
      </c>
      <c r="AE45" s="121"/>
      <c r="AF45" s="121"/>
      <c r="AG45" s="203">
        <v>4.0</v>
      </c>
      <c r="AH45" s="120"/>
      <c r="AI45" s="120"/>
      <c r="AJ45" s="120"/>
      <c r="AK45" s="120"/>
      <c r="AL45" s="120"/>
      <c r="AM45" s="120"/>
      <c r="AN45" s="120"/>
    </row>
    <row r="46" ht="17.25" customHeight="1">
      <c r="A46" s="121"/>
      <c r="B46" s="121"/>
      <c r="C46" s="194"/>
      <c r="D46" s="46"/>
      <c r="E46" s="46"/>
      <c r="F46" s="46"/>
      <c r="G46" s="46"/>
      <c r="H46" s="47"/>
      <c r="I46" s="195" t="b">
        <v>0</v>
      </c>
      <c r="J46" s="196"/>
      <c r="K46" s="46"/>
      <c r="L46" s="46"/>
      <c r="M46" s="46"/>
      <c r="N46" s="46"/>
      <c r="O46" s="47"/>
      <c r="P46" s="197" t="b">
        <v>0</v>
      </c>
      <c r="Q46" s="198"/>
      <c r="R46" s="46"/>
      <c r="S46" s="46"/>
      <c r="T46" s="46"/>
      <c r="U46" s="46"/>
      <c r="V46" s="47"/>
      <c r="W46" s="199" t="b">
        <v>0</v>
      </c>
      <c r="X46" s="200"/>
      <c r="Y46" s="46"/>
      <c r="Z46" s="46"/>
      <c r="AA46" s="46"/>
      <c r="AB46" s="46"/>
      <c r="AC46" s="47"/>
      <c r="AD46" s="201" t="b">
        <v>0</v>
      </c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</row>
    <row r="47" ht="17.25" customHeight="1">
      <c r="A47" s="121"/>
      <c r="B47" s="121"/>
      <c r="C47" s="194"/>
      <c r="D47" s="46"/>
      <c r="E47" s="46"/>
      <c r="F47" s="46"/>
      <c r="G47" s="46"/>
      <c r="H47" s="47"/>
      <c r="I47" s="195" t="b">
        <v>0</v>
      </c>
      <c r="J47" s="196"/>
      <c r="K47" s="46"/>
      <c r="L47" s="46"/>
      <c r="M47" s="46"/>
      <c r="N47" s="46"/>
      <c r="O47" s="47"/>
      <c r="P47" s="197" t="b">
        <v>0</v>
      </c>
      <c r="Q47" s="198"/>
      <c r="R47" s="46"/>
      <c r="S47" s="46"/>
      <c r="T47" s="46"/>
      <c r="U47" s="46"/>
      <c r="V47" s="47"/>
      <c r="W47" s="199" t="b">
        <v>0</v>
      </c>
      <c r="X47" s="200"/>
      <c r="Y47" s="46"/>
      <c r="Z47" s="46"/>
      <c r="AA47" s="46"/>
      <c r="AB47" s="46"/>
      <c r="AC47" s="47"/>
      <c r="AD47" s="201" t="b">
        <v>0</v>
      </c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</row>
    <row r="48" ht="17.25" customHeight="1">
      <c r="A48" s="121"/>
      <c r="B48" s="121"/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</row>
    <row r="49" ht="17.25" customHeight="1">
      <c r="A49" s="121"/>
      <c r="B49" s="136" t="s">
        <v>60</v>
      </c>
      <c r="C49" s="204"/>
      <c r="D49" s="50"/>
      <c r="E49" s="50"/>
      <c r="F49" s="50"/>
      <c r="G49" s="50"/>
      <c r="H49" s="50"/>
      <c r="I49" s="51"/>
      <c r="J49" s="204"/>
      <c r="K49" s="50"/>
      <c r="L49" s="50"/>
      <c r="M49" s="50"/>
      <c r="N49" s="50"/>
      <c r="O49" s="50"/>
      <c r="P49" s="51"/>
      <c r="Q49" s="204"/>
      <c r="R49" s="50"/>
      <c r="S49" s="50"/>
      <c r="T49" s="50"/>
      <c r="U49" s="50"/>
      <c r="V49" s="50"/>
      <c r="W49" s="51"/>
      <c r="X49" s="204"/>
      <c r="Y49" s="50"/>
      <c r="Z49" s="50"/>
      <c r="AA49" s="50"/>
      <c r="AB49" s="50"/>
      <c r="AC49" s="50"/>
      <c r="AD49" s="5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</row>
    <row r="50" ht="17.25" customHeight="1">
      <c r="A50" s="121"/>
      <c r="B50" s="205"/>
      <c r="C50" s="206"/>
      <c r="D50" s="55"/>
      <c r="E50" s="55"/>
      <c r="F50" s="55"/>
      <c r="G50" s="55"/>
      <c r="H50" s="55"/>
      <c r="I50" s="56"/>
      <c r="J50" s="206"/>
      <c r="K50" s="55"/>
      <c r="L50" s="55"/>
      <c r="M50" s="55"/>
      <c r="N50" s="55"/>
      <c r="O50" s="55"/>
      <c r="P50" s="56"/>
      <c r="Q50" s="206"/>
      <c r="R50" s="55"/>
      <c r="S50" s="55"/>
      <c r="T50" s="55"/>
      <c r="U50" s="55"/>
      <c r="V50" s="55"/>
      <c r="W50" s="56"/>
      <c r="X50" s="206"/>
      <c r="Y50" s="55"/>
      <c r="Z50" s="55"/>
      <c r="AA50" s="55"/>
      <c r="AB50" s="55"/>
      <c r="AC50" s="55"/>
      <c r="AD50" s="56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</row>
    <row r="51" ht="17.25" customHeight="1">
      <c r="A51" s="121"/>
      <c r="B51" s="86"/>
      <c r="C51" s="207"/>
      <c r="D51" s="60"/>
      <c r="E51" s="60"/>
      <c r="F51" s="60"/>
      <c r="G51" s="60"/>
      <c r="H51" s="60"/>
      <c r="I51" s="61"/>
      <c r="J51" s="207"/>
      <c r="K51" s="60"/>
      <c r="L51" s="60"/>
      <c r="M51" s="60"/>
      <c r="N51" s="60"/>
      <c r="O51" s="60"/>
      <c r="P51" s="61"/>
      <c r="Q51" s="207"/>
      <c r="R51" s="60"/>
      <c r="S51" s="60"/>
      <c r="T51" s="60"/>
      <c r="U51" s="60"/>
      <c r="V51" s="60"/>
      <c r="W51" s="61"/>
      <c r="X51" s="207"/>
      <c r="Y51" s="60"/>
      <c r="Z51" s="60"/>
      <c r="AA51" s="60"/>
      <c r="AB51" s="60"/>
      <c r="AC51" s="60"/>
      <c r="AD51" s="6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</row>
    <row r="52" ht="17.25" customHeight="1">
      <c r="A52" s="121"/>
      <c r="B52" s="121"/>
      <c r="C52" s="208"/>
      <c r="I52" s="170"/>
      <c r="J52" s="208"/>
      <c r="P52" s="170"/>
      <c r="Q52" s="208"/>
      <c r="W52" s="170"/>
      <c r="X52" s="208"/>
      <c r="AD52" s="170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</row>
    <row r="53" ht="17.25" customHeight="1">
      <c r="A53" s="121"/>
      <c r="B53" s="121"/>
      <c r="C53" s="121"/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</row>
    <row r="54" ht="17.25" customHeight="1">
      <c r="A54" s="121"/>
      <c r="B54" s="62" t="s">
        <v>61</v>
      </c>
      <c r="C54" s="209" t="s">
        <v>62</v>
      </c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7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</row>
    <row r="55" ht="17.25" customHeight="1">
      <c r="A55" s="121"/>
      <c r="B55" s="43"/>
      <c r="C55" s="210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7"/>
      <c r="P55" s="211" t="b">
        <v>0</v>
      </c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</row>
    <row r="56" ht="17.25" customHeight="1">
      <c r="A56" s="121"/>
      <c r="B56" s="212"/>
      <c r="C56" s="210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7"/>
      <c r="P56" s="211" t="b">
        <v>0</v>
      </c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</row>
    <row r="57" ht="17.25" customHeight="1">
      <c r="A57" s="121"/>
      <c r="B57" s="212"/>
      <c r="C57" s="210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7"/>
      <c r="P57" s="211" t="b">
        <v>0</v>
      </c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</row>
    <row r="58" ht="17.25" customHeight="1">
      <c r="A58" s="121"/>
      <c r="B58" s="212"/>
      <c r="C58" s="210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7"/>
      <c r="P58" s="211" t="b">
        <v>0</v>
      </c>
      <c r="Q58" s="121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  <c r="AL58" s="121"/>
      <c r="AM58" s="121"/>
      <c r="AN58" s="121"/>
    </row>
    <row r="59" ht="17.25" customHeight="1">
      <c r="A59" s="121"/>
      <c r="B59" s="212"/>
      <c r="C59" s="210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7"/>
      <c r="P59" s="211" t="b">
        <v>0</v>
      </c>
      <c r="Q59" s="121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1"/>
      <c r="AM59" s="121"/>
      <c r="AN59" s="121"/>
    </row>
    <row r="60" ht="17.25" customHeight="1">
      <c r="A60" s="121"/>
      <c r="B60" s="121"/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  <c r="AE60" s="121"/>
      <c r="AF60" s="121"/>
      <c r="AG60" s="121"/>
      <c r="AH60" s="121"/>
      <c r="AI60" s="121"/>
      <c r="AJ60" s="121"/>
      <c r="AK60" s="121"/>
      <c r="AL60" s="121"/>
      <c r="AM60" s="121"/>
      <c r="AN60" s="121"/>
    </row>
    <row r="61" ht="17.25" hidden="1" customHeight="1">
      <c r="A61" s="121"/>
      <c r="B61" s="121"/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1"/>
      <c r="AL61" s="121"/>
      <c r="AM61" s="121"/>
      <c r="AN61" s="121"/>
    </row>
    <row r="62" ht="17.25" hidden="1" customHeight="1">
      <c r="A62" s="121"/>
      <c r="B62" s="213">
        <f>COUNTIF($I$43:$I$47, true)</f>
        <v>0</v>
      </c>
      <c r="C62" s="214" t="str">
        <f t="array" ref="C62:H66">$C$43:$H$47</f>
        <v/>
      </c>
      <c r="D62" s="214"/>
      <c r="E62" s="214"/>
      <c r="F62" s="214"/>
      <c r="G62" s="214"/>
      <c r="H62" s="214"/>
      <c r="I62" s="213">
        <f t="array" ref="I62">COUNTA(UNIQUE($C$62:$C$140))</f>
        <v>0</v>
      </c>
      <c r="J62" s="215">
        <f>sum($B$62,$B$78,$B$110,$B$126)</f>
        <v>0</v>
      </c>
      <c r="K62" s="213">
        <f>sum(COUNTA($I$43:$I$47),COUNTA($P$43:$P$47),COUNTA($W$43:$W$47),COUNTA($AD$43:$AD$47),COUNTA($P$55:$P$59))</f>
        <v>25</v>
      </c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121"/>
      <c r="AK62" s="121"/>
      <c r="AL62" s="121"/>
      <c r="AM62" s="121"/>
      <c r="AN62" s="121"/>
    </row>
    <row r="63" ht="17.25" hidden="1" customHeight="1">
      <c r="A63" s="121"/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 s="121"/>
      <c r="AH63" s="121"/>
      <c r="AI63" s="121"/>
      <c r="AJ63" s="121"/>
      <c r="AK63" s="121"/>
      <c r="AL63" s="121"/>
      <c r="AM63" s="121"/>
      <c r="AN63" s="121"/>
    </row>
    <row r="64" ht="17.25" hidden="1" customHeight="1">
      <c r="A64" s="121"/>
      <c r="B64" s="214"/>
      <c r="C64" s="214"/>
      <c r="D64" s="214"/>
      <c r="E64" s="214"/>
      <c r="F64" s="214"/>
      <c r="G64" s="214"/>
      <c r="H64" s="214"/>
      <c r="I64" s="214"/>
      <c r="J64" s="214"/>
      <c r="K64" s="214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121"/>
      <c r="AK64" s="121"/>
      <c r="AL64" s="121"/>
      <c r="AM64" s="121"/>
      <c r="AN64" s="121"/>
    </row>
    <row r="65" ht="17.25" hidden="1" customHeight="1">
      <c r="A65" s="121"/>
      <c r="B65" s="214"/>
      <c r="C65" s="214"/>
      <c r="D65" s="214"/>
      <c r="E65" s="214"/>
      <c r="F65" s="214"/>
      <c r="G65" s="214"/>
      <c r="H65" s="214"/>
      <c r="I65" s="214"/>
      <c r="J65" s="214"/>
      <c r="K65" s="214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1"/>
      <c r="AI65" s="121"/>
      <c r="AJ65" s="121"/>
      <c r="AK65" s="121"/>
      <c r="AL65" s="121"/>
      <c r="AM65" s="121"/>
      <c r="AN65" s="121"/>
    </row>
    <row r="66" ht="17.25" hidden="1" customHeight="1">
      <c r="A66" s="121"/>
      <c r="B66" s="214"/>
      <c r="C66" s="214"/>
      <c r="D66" s="214"/>
      <c r="E66" s="214"/>
      <c r="F66" s="214"/>
      <c r="G66" s="214"/>
      <c r="H66" s="214"/>
      <c r="I66" s="214"/>
      <c r="J66" s="214"/>
      <c r="K66" s="214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  <c r="AA66" s="121"/>
      <c r="AB66" s="121"/>
      <c r="AC66" s="121"/>
      <c r="AD66" s="121"/>
      <c r="AE66" s="121"/>
      <c r="AF66" s="121"/>
      <c r="AG66" s="121"/>
      <c r="AH66" s="121"/>
      <c r="AI66" s="121"/>
      <c r="AJ66" s="121"/>
      <c r="AK66" s="121"/>
      <c r="AL66" s="121"/>
      <c r="AM66" s="121"/>
      <c r="AN66" s="121"/>
    </row>
    <row r="67" ht="17.25" hidden="1" customHeight="1">
      <c r="A67" s="121"/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1"/>
      <c r="AJ67" s="121"/>
      <c r="AK67" s="121"/>
      <c r="AL67" s="121"/>
      <c r="AM67" s="121"/>
      <c r="AN67" s="121"/>
    </row>
    <row r="68" ht="17.25" hidden="1" customHeight="1">
      <c r="A68" s="121"/>
      <c r="B68" s="214"/>
      <c r="C68" s="214"/>
      <c r="D68" s="214"/>
      <c r="E68" s="214"/>
      <c r="F68" s="214"/>
      <c r="G68" s="214"/>
      <c r="H68" s="214"/>
      <c r="I68" s="214"/>
      <c r="J68" s="214"/>
      <c r="K68" s="214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  <c r="AA68" s="121"/>
      <c r="AB68" s="121"/>
      <c r="AC68" s="121"/>
      <c r="AD68" s="121"/>
      <c r="AE68" s="121"/>
      <c r="AF68" s="121"/>
      <c r="AG68" s="121"/>
      <c r="AH68" s="121"/>
      <c r="AI68" s="121"/>
      <c r="AJ68" s="121"/>
      <c r="AK68" s="121"/>
      <c r="AL68" s="121"/>
      <c r="AM68" s="121"/>
      <c r="AN68" s="121"/>
    </row>
    <row r="69" ht="17.25" hidden="1" customHeight="1">
      <c r="A69" s="121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  <c r="AC69" s="121"/>
      <c r="AD69" s="121"/>
      <c r="AE69" s="121"/>
      <c r="AF69" s="121"/>
      <c r="AG69" s="121"/>
      <c r="AH69" s="121"/>
      <c r="AI69" s="121"/>
      <c r="AJ69" s="121"/>
      <c r="AK69" s="121"/>
      <c r="AL69" s="121"/>
      <c r="AM69" s="121"/>
      <c r="AN69" s="121"/>
    </row>
    <row r="70" ht="17.25" hidden="1" customHeight="1">
      <c r="A70" s="121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  <c r="AC70" s="121"/>
      <c r="AD70" s="121"/>
      <c r="AE70" s="121"/>
      <c r="AF70" s="121"/>
      <c r="AG70" s="121"/>
      <c r="AH70" s="121"/>
      <c r="AI70" s="121"/>
      <c r="AJ70" s="121"/>
      <c r="AK70" s="121"/>
      <c r="AL70" s="121"/>
      <c r="AM70" s="121"/>
      <c r="AN70" s="121"/>
    </row>
    <row r="71" ht="17.25" hidden="1" customHeight="1">
      <c r="A71" s="121"/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  <c r="AD71" s="121"/>
      <c r="AE71" s="121"/>
      <c r="AF71" s="121"/>
      <c r="AG71" s="121"/>
      <c r="AH71" s="121"/>
      <c r="AI71" s="121"/>
      <c r="AJ71" s="121"/>
      <c r="AK71" s="121"/>
      <c r="AL71" s="121"/>
      <c r="AM71" s="121"/>
      <c r="AN71" s="121"/>
    </row>
    <row r="72" ht="17.25" hidden="1" customHeight="1">
      <c r="A72" s="121"/>
      <c r="B72" s="214"/>
      <c r="C72" s="214"/>
      <c r="D72" s="214"/>
      <c r="E72" s="214"/>
      <c r="F72" s="214"/>
      <c r="G72" s="214"/>
      <c r="H72" s="214"/>
      <c r="I72" s="214"/>
      <c r="J72" s="214"/>
      <c r="K72" s="214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  <c r="AD72" s="121"/>
      <c r="AE72" s="121"/>
      <c r="AF72" s="121"/>
      <c r="AG72" s="121"/>
      <c r="AH72" s="121"/>
      <c r="AI72" s="121"/>
      <c r="AJ72" s="121"/>
      <c r="AK72" s="121"/>
      <c r="AL72" s="121"/>
      <c r="AM72" s="121"/>
      <c r="AN72" s="121"/>
    </row>
    <row r="73" ht="17.25" hidden="1" customHeight="1">
      <c r="A73" s="121"/>
      <c r="B73" s="214"/>
      <c r="C73" s="214"/>
      <c r="D73" s="214"/>
      <c r="E73" s="214"/>
      <c r="F73" s="214"/>
      <c r="G73" s="214"/>
      <c r="H73" s="214"/>
      <c r="I73" s="214"/>
      <c r="J73" s="214"/>
      <c r="K73" s="214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  <c r="AA73" s="121"/>
      <c r="AB73" s="121"/>
      <c r="AC73" s="121"/>
      <c r="AD73" s="121"/>
      <c r="AE73" s="121"/>
      <c r="AF73" s="121"/>
      <c r="AG73" s="121"/>
      <c r="AH73" s="121"/>
      <c r="AI73" s="121"/>
      <c r="AJ73" s="121"/>
      <c r="AK73" s="121"/>
      <c r="AL73" s="121"/>
      <c r="AM73" s="121"/>
      <c r="AN73" s="121"/>
    </row>
    <row r="74" ht="17.25" hidden="1" customHeight="1">
      <c r="A74" s="121"/>
      <c r="B74" s="214"/>
      <c r="C74" s="214"/>
      <c r="D74" s="214"/>
      <c r="E74" s="214"/>
      <c r="F74" s="214"/>
      <c r="G74" s="214"/>
      <c r="H74" s="214"/>
      <c r="I74" s="214"/>
      <c r="J74" s="214"/>
      <c r="K74" s="214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  <c r="AD74" s="121"/>
      <c r="AE74" s="121"/>
      <c r="AF74" s="121"/>
      <c r="AG74" s="121"/>
      <c r="AH74" s="121"/>
      <c r="AI74" s="121"/>
      <c r="AJ74" s="121"/>
      <c r="AK74" s="121"/>
      <c r="AL74" s="121"/>
      <c r="AM74" s="121"/>
      <c r="AN74" s="121"/>
    </row>
    <row r="75" ht="17.25" hidden="1" customHeight="1">
      <c r="A75" s="121"/>
      <c r="B75" s="214"/>
      <c r="C75" s="214"/>
      <c r="D75" s="214"/>
      <c r="E75" s="214"/>
      <c r="F75" s="214"/>
      <c r="G75" s="214"/>
      <c r="H75" s="214"/>
      <c r="I75" s="214"/>
      <c r="J75" s="214"/>
      <c r="K75" s="214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  <c r="AD75" s="121"/>
      <c r="AE75" s="121"/>
      <c r="AF75" s="121"/>
      <c r="AG75" s="121"/>
      <c r="AH75" s="121"/>
      <c r="AI75" s="121"/>
      <c r="AJ75" s="121"/>
      <c r="AK75" s="121"/>
      <c r="AL75" s="121"/>
      <c r="AM75" s="121"/>
      <c r="AN75" s="121"/>
    </row>
    <row r="76" ht="17.25" hidden="1" customHeight="1">
      <c r="A76" s="121"/>
      <c r="B76" s="214"/>
      <c r="C76" s="214"/>
      <c r="D76" s="214"/>
      <c r="E76" s="214"/>
      <c r="F76" s="214"/>
      <c r="G76" s="214"/>
      <c r="H76" s="214"/>
      <c r="I76" s="214"/>
      <c r="J76" s="214"/>
      <c r="K76" s="214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  <c r="AC76" s="121"/>
      <c r="AD76" s="121"/>
      <c r="AE76" s="121"/>
      <c r="AF76" s="121"/>
      <c r="AG76" s="121"/>
      <c r="AH76" s="121"/>
      <c r="AI76" s="121"/>
      <c r="AJ76" s="121"/>
      <c r="AK76" s="121"/>
      <c r="AL76" s="121"/>
      <c r="AM76" s="121"/>
      <c r="AN76" s="121"/>
    </row>
    <row r="77" ht="17.25" hidden="1" customHeight="1">
      <c r="A77" s="121"/>
      <c r="B77" s="214"/>
      <c r="C77" s="214"/>
      <c r="D77" s="214"/>
      <c r="E77" s="214"/>
      <c r="F77" s="214"/>
      <c r="G77" s="214"/>
      <c r="H77" s="214"/>
      <c r="I77" s="214"/>
      <c r="J77" s="214"/>
      <c r="K77" s="214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  <c r="AD77" s="121"/>
      <c r="AE77" s="121"/>
      <c r="AF77" s="121"/>
      <c r="AG77" s="121"/>
      <c r="AH77" s="121"/>
      <c r="AI77" s="121"/>
      <c r="AJ77" s="121"/>
      <c r="AK77" s="121"/>
      <c r="AL77" s="121"/>
      <c r="AM77" s="121"/>
      <c r="AN77" s="121"/>
    </row>
    <row r="78" ht="17.25" hidden="1" customHeight="1">
      <c r="A78" s="121"/>
      <c r="B78" s="213">
        <f>COUNTIF($P$43:$P$47, true)</f>
        <v>0</v>
      </c>
      <c r="C78" s="214" t="str">
        <f t="array" ref="C78:H82">$J$43:$O$47</f>
        <v/>
      </c>
      <c r="D78" s="214"/>
      <c r="E78" s="214"/>
      <c r="F78" s="214"/>
      <c r="G78" s="214"/>
      <c r="H78" s="214"/>
      <c r="I78" s="214"/>
      <c r="J78" s="214"/>
      <c r="K78" s="214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  <c r="AD78" s="121"/>
      <c r="AE78" s="121"/>
      <c r="AF78" s="121"/>
      <c r="AG78" s="121"/>
      <c r="AH78" s="121"/>
      <c r="AI78" s="121"/>
      <c r="AJ78" s="121"/>
      <c r="AK78" s="121"/>
      <c r="AL78" s="121"/>
      <c r="AM78" s="121"/>
      <c r="AN78" s="121"/>
    </row>
    <row r="79" ht="17.25" hidden="1" customHeight="1">
      <c r="A79" s="121"/>
      <c r="B79" s="214"/>
      <c r="C79" s="214"/>
      <c r="D79" s="214"/>
      <c r="E79" s="214"/>
      <c r="F79" s="214"/>
      <c r="G79" s="214"/>
      <c r="H79" s="214"/>
      <c r="I79" s="214"/>
      <c r="J79" s="214"/>
      <c r="K79" s="214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  <c r="AC79" s="121"/>
      <c r="AD79" s="121"/>
      <c r="AE79" s="121"/>
      <c r="AF79" s="121"/>
      <c r="AG79" s="121"/>
      <c r="AH79" s="121"/>
      <c r="AI79" s="121"/>
      <c r="AJ79" s="121"/>
      <c r="AK79" s="121"/>
      <c r="AL79" s="121"/>
      <c r="AM79" s="121"/>
      <c r="AN79" s="121"/>
    </row>
    <row r="80" ht="17.25" hidden="1" customHeight="1">
      <c r="A80" s="121"/>
      <c r="B80" s="214"/>
      <c r="C80" s="214"/>
      <c r="D80" s="214"/>
      <c r="E80" s="214"/>
      <c r="F80" s="214"/>
      <c r="G80" s="214"/>
      <c r="H80" s="214"/>
      <c r="I80" s="214"/>
      <c r="J80" s="214"/>
      <c r="K80" s="214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  <c r="AA80" s="121"/>
      <c r="AB80" s="121"/>
      <c r="AC80" s="121"/>
      <c r="AD80" s="121"/>
      <c r="AE80" s="121"/>
      <c r="AF80" s="121"/>
      <c r="AG80" s="121"/>
      <c r="AH80" s="121"/>
      <c r="AI80" s="121"/>
      <c r="AJ80" s="121"/>
      <c r="AK80" s="121"/>
      <c r="AL80" s="121"/>
      <c r="AM80" s="121"/>
      <c r="AN80" s="121"/>
    </row>
    <row r="81" ht="17.25" hidden="1" customHeight="1">
      <c r="A81" s="121"/>
      <c r="B81" s="214"/>
      <c r="C81" s="214"/>
      <c r="D81" s="214"/>
      <c r="E81" s="214"/>
      <c r="F81" s="214"/>
      <c r="G81" s="214"/>
      <c r="H81" s="214"/>
      <c r="I81" s="214"/>
      <c r="J81" s="214"/>
      <c r="K81" s="214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1"/>
      <c r="AG81" s="121"/>
      <c r="AH81" s="121"/>
      <c r="AI81" s="121"/>
      <c r="AJ81" s="121"/>
      <c r="AK81" s="121"/>
      <c r="AL81" s="121"/>
      <c r="AM81" s="121"/>
      <c r="AN81" s="121"/>
    </row>
    <row r="82" ht="17.25" hidden="1" customHeight="1">
      <c r="A82" s="121"/>
      <c r="B82" s="214"/>
      <c r="C82" s="214"/>
      <c r="D82" s="214"/>
      <c r="E82" s="214"/>
      <c r="F82" s="214"/>
      <c r="G82" s="214"/>
      <c r="H82" s="214"/>
      <c r="I82" s="214"/>
      <c r="J82" s="214"/>
      <c r="K82" s="214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</row>
    <row r="83" ht="17.25" hidden="1" customHeight="1">
      <c r="A83" s="121"/>
      <c r="B83" s="214"/>
      <c r="C83" s="214"/>
      <c r="D83" s="214"/>
      <c r="E83" s="214"/>
      <c r="F83" s="214"/>
      <c r="G83" s="214"/>
      <c r="H83" s="214"/>
      <c r="I83" s="214"/>
      <c r="J83" s="214"/>
      <c r="K83" s="214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</row>
    <row r="84" ht="17.25" hidden="1" customHeight="1">
      <c r="A84" s="121"/>
      <c r="B84" s="214"/>
      <c r="C84" s="214"/>
      <c r="D84" s="214"/>
      <c r="E84" s="214"/>
      <c r="F84" s="214"/>
      <c r="G84" s="214"/>
      <c r="H84" s="214"/>
      <c r="I84" s="214"/>
      <c r="J84" s="214"/>
      <c r="K84" s="214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1"/>
      <c r="AE84" s="121"/>
      <c r="AF84" s="121"/>
      <c r="AG84" s="121"/>
      <c r="AH84" s="121"/>
      <c r="AI84" s="121"/>
      <c r="AJ84" s="121"/>
      <c r="AK84" s="121"/>
      <c r="AL84" s="121"/>
      <c r="AM84" s="121"/>
      <c r="AN84" s="121"/>
    </row>
    <row r="85" ht="17.25" hidden="1" customHeight="1">
      <c r="A85" s="121"/>
      <c r="B85" s="214"/>
      <c r="C85" s="214"/>
      <c r="D85" s="214"/>
      <c r="E85" s="214"/>
      <c r="F85" s="214"/>
      <c r="G85" s="214"/>
      <c r="H85" s="214"/>
      <c r="I85" s="214"/>
      <c r="J85" s="214"/>
      <c r="K85" s="214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1"/>
      <c r="AL85" s="121"/>
      <c r="AM85" s="121"/>
      <c r="AN85" s="121"/>
    </row>
    <row r="86" ht="17.25" hidden="1" customHeight="1">
      <c r="A86" s="121"/>
      <c r="B86" s="214"/>
      <c r="C86" s="214"/>
      <c r="D86" s="214"/>
      <c r="E86" s="214"/>
      <c r="F86" s="214"/>
      <c r="G86" s="214"/>
      <c r="H86" s="214"/>
      <c r="I86" s="214"/>
      <c r="J86" s="214"/>
      <c r="K86" s="214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</row>
    <row r="87" ht="17.25" hidden="1" customHeight="1">
      <c r="A87" s="121"/>
      <c r="B87" s="214"/>
      <c r="C87" s="214"/>
      <c r="D87" s="214"/>
      <c r="E87" s="214"/>
      <c r="F87" s="214"/>
      <c r="G87" s="214"/>
      <c r="H87" s="214"/>
      <c r="I87" s="214"/>
      <c r="J87" s="214"/>
      <c r="K87" s="214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</row>
    <row r="88" ht="17.25" hidden="1" customHeight="1">
      <c r="A88" s="121"/>
      <c r="B88" s="214"/>
      <c r="C88" s="214"/>
      <c r="D88" s="214"/>
      <c r="E88" s="214"/>
      <c r="F88" s="214"/>
      <c r="G88" s="214"/>
      <c r="H88" s="214"/>
      <c r="I88" s="214"/>
      <c r="J88" s="214"/>
      <c r="K88" s="214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</row>
    <row r="89" ht="17.25" hidden="1" customHeight="1">
      <c r="A89" s="121"/>
      <c r="B89" s="214"/>
      <c r="C89" s="214"/>
      <c r="D89" s="214"/>
      <c r="E89" s="214"/>
      <c r="F89" s="214"/>
      <c r="G89" s="214"/>
      <c r="H89" s="214"/>
      <c r="I89" s="214"/>
      <c r="J89" s="214"/>
      <c r="K89" s="214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</row>
    <row r="90" ht="17.25" hidden="1" customHeight="1">
      <c r="A90" s="121"/>
      <c r="B90" s="214"/>
      <c r="C90" s="214"/>
      <c r="D90" s="214"/>
      <c r="E90" s="214"/>
      <c r="F90" s="214"/>
      <c r="G90" s="214"/>
      <c r="H90" s="214"/>
      <c r="I90" s="214"/>
      <c r="J90" s="214"/>
      <c r="K90" s="214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</row>
    <row r="91" ht="17.25" hidden="1" customHeight="1">
      <c r="A91" s="121"/>
      <c r="B91" s="214"/>
      <c r="C91" s="214"/>
      <c r="D91" s="214"/>
      <c r="E91" s="214"/>
      <c r="F91" s="214"/>
      <c r="G91" s="214"/>
      <c r="H91" s="214"/>
      <c r="I91" s="214"/>
      <c r="J91" s="214"/>
      <c r="K91" s="214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</row>
    <row r="92" ht="17.25" hidden="1" customHeight="1">
      <c r="A92" s="121"/>
      <c r="B92" s="214"/>
      <c r="C92" s="214"/>
      <c r="D92" s="214"/>
      <c r="E92" s="214"/>
      <c r="F92" s="214"/>
      <c r="G92" s="214"/>
      <c r="H92" s="214"/>
      <c r="I92" s="214"/>
      <c r="J92" s="214"/>
      <c r="K92" s="214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</row>
    <row r="93" ht="17.25" hidden="1" customHeight="1">
      <c r="A93" s="121"/>
      <c r="B93" s="214"/>
      <c r="C93" s="214"/>
      <c r="D93" s="214"/>
      <c r="E93" s="214"/>
      <c r="F93" s="214"/>
      <c r="G93" s="214"/>
      <c r="H93" s="214"/>
      <c r="I93" s="214"/>
      <c r="J93" s="214"/>
      <c r="K93" s="214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</row>
    <row r="94" ht="17.25" hidden="1" customHeight="1">
      <c r="A94" s="121"/>
      <c r="B94" s="213">
        <f>COUNTIF($W$43:$W$47, true)</f>
        <v>0</v>
      </c>
      <c r="C94" s="214" t="str">
        <f t="array" ref="C94:H98">$Q$43:$V$47</f>
        <v/>
      </c>
      <c r="D94" s="214"/>
      <c r="E94" s="214"/>
      <c r="F94" s="214"/>
      <c r="G94" s="214"/>
      <c r="H94" s="214"/>
      <c r="I94" s="214"/>
      <c r="J94" s="214"/>
      <c r="K94" s="214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</row>
    <row r="95" ht="17.25" hidden="1" customHeight="1">
      <c r="A95" s="121"/>
      <c r="B95" s="214"/>
      <c r="C95" s="214"/>
      <c r="D95" s="214"/>
      <c r="E95" s="214"/>
      <c r="F95" s="214"/>
      <c r="G95" s="214"/>
      <c r="H95" s="214"/>
      <c r="I95" s="214"/>
      <c r="J95" s="214"/>
      <c r="K95" s="214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</row>
    <row r="96" ht="17.25" hidden="1" customHeight="1">
      <c r="A96" s="121"/>
      <c r="B96" s="214"/>
      <c r="C96" s="214"/>
      <c r="D96" s="214"/>
      <c r="E96" s="214"/>
      <c r="F96" s="214"/>
      <c r="G96" s="214"/>
      <c r="H96" s="214"/>
      <c r="I96" s="214"/>
      <c r="J96" s="214"/>
      <c r="K96" s="214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1"/>
      <c r="AH96" s="121"/>
      <c r="AI96" s="121"/>
      <c r="AJ96" s="121"/>
      <c r="AK96" s="121"/>
      <c r="AL96" s="121"/>
      <c r="AM96" s="121"/>
      <c r="AN96" s="121"/>
    </row>
    <row r="97" ht="17.25" hidden="1" customHeight="1">
      <c r="A97" s="121"/>
      <c r="B97" s="214"/>
      <c r="C97" s="214"/>
      <c r="D97" s="214"/>
      <c r="E97" s="214"/>
      <c r="F97" s="214"/>
      <c r="G97" s="214"/>
      <c r="H97" s="214"/>
      <c r="I97" s="214"/>
      <c r="J97" s="214"/>
      <c r="K97" s="214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  <c r="AA97" s="121"/>
      <c r="AB97" s="121"/>
      <c r="AC97" s="121"/>
      <c r="AD97" s="121"/>
      <c r="AE97" s="121"/>
      <c r="AF97" s="121"/>
      <c r="AG97" s="121"/>
      <c r="AH97" s="121"/>
      <c r="AI97" s="121"/>
      <c r="AJ97" s="121"/>
      <c r="AK97" s="121"/>
      <c r="AL97" s="121"/>
      <c r="AM97" s="121"/>
      <c r="AN97" s="121"/>
    </row>
    <row r="98" ht="17.25" hidden="1" customHeight="1">
      <c r="A98" s="121"/>
      <c r="B98" s="214"/>
      <c r="C98" s="214"/>
      <c r="D98" s="214"/>
      <c r="E98" s="214"/>
      <c r="F98" s="214"/>
      <c r="G98" s="214"/>
      <c r="H98" s="214"/>
      <c r="I98" s="214"/>
      <c r="J98" s="214"/>
      <c r="K98" s="214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1"/>
      <c r="AH98" s="121"/>
      <c r="AI98" s="121"/>
      <c r="AJ98" s="121"/>
      <c r="AK98" s="121"/>
      <c r="AL98" s="121"/>
      <c r="AM98" s="121"/>
      <c r="AN98" s="121"/>
    </row>
    <row r="99" ht="17.25" hidden="1" customHeight="1">
      <c r="A99" s="121"/>
      <c r="B99" s="214"/>
      <c r="C99" s="214"/>
      <c r="D99" s="214"/>
      <c r="E99" s="214"/>
      <c r="F99" s="214"/>
      <c r="G99" s="214"/>
      <c r="H99" s="214"/>
      <c r="I99" s="214"/>
      <c r="J99" s="214"/>
      <c r="K99" s="214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  <c r="AA99" s="121"/>
      <c r="AB99" s="121"/>
      <c r="AC99" s="121"/>
      <c r="AD99" s="121"/>
      <c r="AE99" s="121"/>
      <c r="AF99" s="121"/>
      <c r="AG99" s="121"/>
      <c r="AH99" s="121"/>
      <c r="AI99" s="121"/>
      <c r="AJ99" s="121"/>
      <c r="AK99" s="121"/>
      <c r="AL99" s="121"/>
      <c r="AM99" s="121"/>
      <c r="AN99" s="121"/>
    </row>
    <row r="100" ht="17.25" hidden="1" customHeight="1">
      <c r="A100" s="121"/>
      <c r="B100" s="214"/>
      <c r="C100" s="214"/>
      <c r="D100" s="214"/>
      <c r="E100" s="214"/>
      <c r="F100" s="214"/>
      <c r="G100" s="214"/>
      <c r="H100" s="214"/>
      <c r="I100" s="214"/>
      <c r="J100" s="214"/>
      <c r="K100" s="214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  <c r="AA100" s="121"/>
      <c r="AB100" s="121"/>
      <c r="AC100" s="121"/>
      <c r="AD100" s="121"/>
      <c r="AE100" s="121"/>
      <c r="AF100" s="121"/>
      <c r="AG100" s="121"/>
      <c r="AH100" s="121"/>
      <c r="AI100" s="121"/>
      <c r="AJ100" s="121"/>
      <c r="AK100" s="121"/>
      <c r="AL100" s="121"/>
      <c r="AM100" s="121"/>
      <c r="AN100" s="121"/>
    </row>
    <row r="101" ht="17.25" hidden="1" customHeight="1">
      <c r="A101" s="121"/>
      <c r="B101" s="214"/>
      <c r="C101" s="214"/>
      <c r="D101" s="214"/>
      <c r="E101" s="214"/>
      <c r="F101" s="214"/>
      <c r="G101" s="214"/>
      <c r="H101" s="214"/>
      <c r="I101" s="214"/>
      <c r="J101" s="214"/>
      <c r="K101" s="214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  <c r="AA101" s="121"/>
      <c r="AB101" s="121"/>
      <c r="AC101" s="121"/>
      <c r="AD101" s="121"/>
      <c r="AE101" s="121"/>
      <c r="AF101" s="121"/>
      <c r="AG101" s="121"/>
      <c r="AH101" s="121"/>
      <c r="AI101" s="121"/>
      <c r="AJ101" s="121"/>
      <c r="AK101" s="121"/>
      <c r="AL101" s="121"/>
      <c r="AM101" s="121"/>
      <c r="AN101" s="121"/>
    </row>
    <row r="102" ht="17.25" hidden="1" customHeight="1">
      <c r="A102" s="121"/>
      <c r="B102" s="214"/>
      <c r="C102" s="214"/>
      <c r="D102" s="214"/>
      <c r="E102" s="214"/>
      <c r="F102" s="214"/>
      <c r="G102" s="214"/>
      <c r="H102" s="214"/>
      <c r="I102" s="214"/>
      <c r="J102" s="214"/>
      <c r="K102" s="214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  <c r="AA102" s="121"/>
      <c r="AB102" s="121"/>
      <c r="AC102" s="121"/>
      <c r="AD102" s="121"/>
      <c r="AE102" s="121"/>
      <c r="AF102" s="121"/>
      <c r="AG102" s="121"/>
      <c r="AH102" s="121"/>
      <c r="AI102" s="121"/>
      <c r="AJ102" s="121"/>
      <c r="AK102" s="121"/>
      <c r="AL102" s="121"/>
      <c r="AM102" s="121"/>
      <c r="AN102" s="121"/>
    </row>
    <row r="103" ht="17.25" hidden="1" customHeight="1">
      <c r="A103" s="121"/>
      <c r="B103" s="214"/>
      <c r="C103" s="214"/>
      <c r="D103" s="214"/>
      <c r="E103" s="214"/>
      <c r="F103" s="214"/>
      <c r="G103" s="214"/>
      <c r="H103" s="214"/>
      <c r="I103" s="214"/>
      <c r="J103" s="214"/>
      <c r="K103" s="214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  <c r="AA103" s="121"/>
      <c r="AB103" s="121"/>
      <c r="AC103" s="121"/>
      <c r="AD103" s="121"/>
      <c r="AE103" s="121"/>
      <c r="AF103" s="121"/>
      <c r="AG103" s="121"/>
      <c r="AH103" s="121"/>
      <c r="AI103" s="121"/>
      <c r="AJ103" s="121"/>
      <c r="AK103" s="121"/>
      <c r="AL103" s="121"/>
      <c r="AM103" s="121"/>
      <c r="AN103" s="121"/>
    </row>
    <row r="104" ht="17.25" hidden="1" customHeight="1">
      <c r="A104" s="121"/>
      <c r="B104" s="214"/>
      <c r="C104" s="214"/>
      <c r="D104" s="214"/>
      <c r="E104" s="214"/>
      <c r="F104" s="214"/>
      <c r="G104" s="214"/>
      <c r="H104" s="214"/>
      <c r="I104" s="214"/>
      <c r="J104" s="214"/>
      <c r="K104" s="214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  <c r="AA104" s="121"/>
      <c r="AB104" s="121"/>
      <c r="AC104" s="121"/>
      <c r="AD104" s="121"/>
      <c r="AE104" s="121"/>
      <c r="AF104" s="121"/>
      <c r="AG104" s="121"/>
      <c r="AH104" s="121"/>
      <c r="AI104" s="121"/>
      <c r="AJ104" s="121"/>
      <c r="AK104" s="121"/>
      <c r="AL104" s="121"/>
      <c r="AM104" s="121"/>
      <c r="AN104" s="121"/>
    </row>
    <row r="105" ht="17.25" hidden="1" customHeight="1">
      <c r="A105" s="121"/>
      <c r="B105" s="214"/>
      <c r="C105" s="214"/>
      <c r="D105" s="214"/>
      <c r="E105" s="214"/>
      <c r="F105" s="214"/>
      <c r="G105" s="214"/>
      <c r="H105" s="214"/>
      <c r="I105" s="214"/>
      <c r="J105" s="214"/>
      <c r="K105" s="214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  <c r="AA105" s="121"/>
      <c r="AB105" s="121"/>
      <c r="AC105" s="121"/>
      <c r="AD105" s="121"/>
      <c r="AE105" s="121"/>
      <c r="AF105" s="121"/>
      <c r="AG105" s="121"/>
      <c r="AH105" s="121"/>
      <c r="AI105" s="121"/>
      <c r="AJ105" s="121"/>
      <c r="AK105" s="121"/>
      <c r="AL105" s="121"/>
      <c r="AM105" s="121"/>
      <c r="AN105" s="121"/>
    </row>
    <row r="106" ht="17.25" hidden="1" customHeight="1">
      <c r="A106" s="121"/>
      <c r="B106" s="214"/>
      <c r="C106" s="214"/>
      <c r="D106" s="214"/>
      <c r="E106" s="214"/>
      <c r="F106" s="214"/>
      <c r="G106" s="214"/>
      <c r="H106" s="214"/>
      <c r="I106" s="214"/>
      <c r="J106" s="214"/>
      <c r="K106" s="214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  <c r="AA106" s="121"/>
      <c r="AB106" s="121"/>
      <c r="AC106" s="121"/>
      <c r="AD106" s="121"/>
      <c r="AE106" s="121"/>
      <c r="AF106" s="121"/>
      <c r="AG106" s="121"/>
      <c r="AH106" s="121"/>
      <c r="AI106" s="121"/>
      <c r="AJ106" s="121"/>
      <c r="AK106" s="121"/>
      <c r="AL106" s="121"/>
      <c r="AM106" s="121"/>
      <c r="AN106" s="121"/>
    </row>
    <row r="107" ht="17.25" hidden="1" customHeight="1">
      <c r="A107" s="121"/>
      <c r="B107" s="214"/>
      <c r="C107" s="214"/>
      <c r="D107" s="214"/>
      <c r="E107" s="214"/>
      <c r="F107" s="214"/>
      <c r="G107" s="214"/>
      <c r="H107" s="214"/>
      <c r="I107" s="214"/>
      <c r="J107" s="214"/>
      <c r="K107" s="214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  <c r="AA107" s="121"/>
      <c r="AB107" s="121"/>
      <c r="AC107" s="121"/>
      <c r="AD107" s="121"/>
      <c r="AE107" s="121"/>
      <c r="AF107" s="121"/>
      <c r="AG107" s="121"/>
      <c r="AH107" s="121"/>
      <c r="AI107" s="121"/>
      <c r="AJ107" s="121"/>
      <c r="AK107" s="121"/>
      <c r="AL107" s="121"/>
      <c r="AM107" s="121"/>
      <c r="AN107" s="121"/>
    </row>
    <row r="108" ht="17.25" hidden="1" customHeight="1">
      <c r="A108" s="121"/>
      <c r="B108" s="214"/>
      <c r="C108" s="214"/>
      <c r="D108" s="214"/>
      <c r="E108" s="214"/>
      <c r="F108" s="214"/>
      <c r="G108" s="214"/>
      <c r="H108" s="214"/>
      <c r="I108" s="214"/>
      <c r="J108" s="214"/>
      <c r="K108" s="214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  <c r="AA108" s="121"/>
      <c r="AB108" s="121"/>
      <c r="AC108" s="121"/>
      <c r="AD108" s="121"/>
      <c r="AE108" s="121"/>
      <c r="AF108" s="121"/>
      <c r="AG108" s="121"/>
      <c r="AH108" s="121"/>
      <c r="AI108" s="121"/>
      <c r="AJ108" s="121"/>
      <c r="AK108" s="121"/>
      <c r="AL108" s="121"/>
      <c r="AM108" s="121"/>
      <c r="AN108" s="121"/>
    </row>
    <row r="109" ht="17.25" hidden="1" customHeight="1">
      <c r="A109" s="121"/>
      <c r="B109" s="214"/>
      <c r="C109" s="214"/>
      <c r="D109" s="214"/>
      <c r="E109" s="214"/>
      <c r="F109" s="214"/>
      <c r="G109" s="214"/>
      <c r="H109" s="214"/>
      <c r="I109" s="214"/>
      <c r="J109" s="214"/>
      <c r="K109" s="214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  <c r="AA109" s="121"/>
      <c r="AB109" s="121"/>
      <c r="AC109" s="121"/>
      <c r="AD109" s="121"/>
      <c r="AE109" s="121"/>
      <c r="AF109" s="121"/>
      <c r="AG109" s="121"/>
      <c r="AH109" s="121"/>
      <c r="AI109" s="121"/>
      <c r="AJ109" s="121"/>
      <c r="AK109" s="121"/>
      <c r="AL109" s="121"/>
      <c r="AM109" s="121"/>
      <c r="AN109" s="121"/>
    </row>
    <row r="110" ht="17.25" hidden="1" customHeight="1">
      <c r="A110" s="121"/>
      <c r="B110" s="213">
        <f>COUNTIF($AD$43:$AD$47, true)</f>
        <v>0</v>
      </c>
      <c r="C110" s="214" t="str">
        <f t="array" ref="C110:H114">$X$43:$AC$47</f>
        <v/>
      </c>
      <c r="D110" s="214"/>
      <c r="E110" s="214"/>
      <c r="F110" s="214"/>
      <c r="G110" s="214"/>
      <c r="H110" s="214"/>
      <c r="I110" s="214"/>
      <c r="J110" s="214"/>
      <c r="K110" s="214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121"/>
      <c r="AK110" s="121"/>
      <c r="AL110" s="121"/>
      <c r="AM110" s="121"/>
      <c r="AN110" s="121"/>
    </row>
    <row r="111" ht="17.25" hidden="1" customHeight="1">
      <c r="A111" s="121"/>
      <c r="B111" s="214"/>
      <c r="C111" s="214"/>
      <c r="D111" s="214"/>
      <c r="E111" s="214"/>
      <c r="F111" s="214"/>
      <c r="G111" s="214"/>
      <c r="H111" s="214"/>
      <c r="I111" s="214"/>
      <c r="J111" s="214"/>
      <c r="K111" s="214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  <c r="AA111" s="121"/>
      <c r="AB111" s="121"/>
      <c r="AC111" s="121"/>
      <c r="AD111" s="121"/>
      <c r="AE111" s="121"/>
      <c r="AF111" s="121"/>
      <c r="AG111" s="121"/>
      <c r="AH111" s="121"/>
      <c r="AI111" s="121"/>
      <c r="AJ111" s="121"/>
      <c r="AK111" s="121"/>
      <c r="AL111" s="121"/>
      <c r="AM111" s="121"/>
      <c r="AN111" s="121"/>
    </row>
    <row r="112" ht="17.25" hidden="1" customHeight="1">
      <c r="A112" s="121"/>
      <c r="B112" s="214"/>
      <c r="C112" s="214"/>
      <c r="D112" s="214"/>
      <c r="E112" s="214"/>
      <c r="F112" s="214"/>
      <c r="G112" s="214"/>
      <c r="H112" s="214"/>
      <c r="I112" s="214"/>
      <c r="J112" s="214"/>
      <c r="K112" s="214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  <c r="AA112" s="121"/>
      <c r="AB112" s="121"/>
      <c r="AC112" s="121"/>
      <c r="AD112" s="121"/>
      <c r="AE112" s="121"/>
      <c r="AF112" s="121"/>
      <c r="AG112" s="121"/>
      <c r="AH112" s="121"/>
      <c r="AI112" s="121"/>
      <c r="AJ112" s="121"/>
      <c r="AK112" s="121"/>
      <c r="AL112" s="121"/>
      <c r="AM112" s="121"/>
      <c r="AN112" s="121"/>
    </row>
    <row r="113" ht="17.25" hidden="1" customHeight="1">
      <c r="A113" s="121"/>
      <c r="B113" s="214"/>
      <c r="C113" s="214"/>
      <c r="D113" s="214"/>
      <c r="E113" s="214"/>
      <c r="F113" s="214"/>
      <c r="G113" s="214"/>
      <c r="H113" s="214"/>
      <c r="I113" s="214"/>
      <c r="J113" s="214"/>
      <c r="K113" s="214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  <c r="AA113" s="121"/>
      <c r="AB113" s="121"/>
      <c r="AC113" s="121"/>
      <c r="AD113" s="121"/>
      <c r="AE113" s="121"/>
      <c r="AF113" s="121"/>
      <c r="AG113" s="121"/>
      <c r="AH113" s="121"/>
      <c r="AI113" s="121"/>
      <c r="AJ113" s="121"/>
      <c r="AK113" s="121"/>
      <c r="AL113" s="121"/>
      <c r="AM113" s="121"/>
      <c r="AN113" s="121"/>
    </row>
    <row r="114" ht="17.25" hidden="1" customHeight="1">
      <c r="A114" s="121"/>
      <c r="B114" s="214"/>
      <c r="C114" s="214"/>
      <c r="D114" s="214"/>
      <c r="E114" s="214"/>
      <c r="F114" s="214"/>
      <c r="G114" s="214"/>
      <c r="H114" s="214"/>
      <c r="I114" s="214"/>
      <c r="J114" s="214"/>
      <c r="K114" s="214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  <c r="AA114" s="121"/>
      <c r="AB114" s="121"/>
      <c r="AC114" s="121"/>
      <c r="AD114" s="121"/>
      <c r="AE114" s="121"/>
      <c r="AF114" s="121"/>
      <c r="AG114" s="121"/>
      <c r="AH114" s="121"/>
      <c r="AI114" s="121"/>
      <c r="AJ114" s="121"/>
      <c r="AK114" s="121"/>
      <c r="AL114" s="121"/>
      <c r="AM114" s="121"/>
      <c r="AN114" s="121"/>
    </row>
    <row r="115" ht="17.25" hidden="1" customHeight="1">
      <c r="A115" s="121"/>
      <c r="B115" s="214"/>
      <c r="C115" s="214"/>
      <c r="D115" s="214"/>
      <c r="E115" s="214"/>
      <c r="F115" s="214"/>
      <c r="G115" s="214"/>
      <c r="H115" s="214"/>
      <c r="I115" s="214"/>
      <c r="J115" s="214"/>
      <c r="K115" s="214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  <c r="AA115" s="121"/>
      <c r="AB115" s="121"/>
      <c r="AC115" s="121"/>
      <c r="AD115" s="121"/>
      <c r="AE115" s="121"/>
      <c r="AF115" s="121"/>
      <c r="AG115" s="121"/>
      <c r="AH115" s="121"/>
      <c r="AI115" s="121"/>
      <c r="AJ115" s="121"/>
      <c r="AK115" s="121"/>
      <c r="AL115" s="121"/>
      <c r="AM115" s="121"/>
      <c r="AN115" s="121"/>
    </row>
    <row r="116" ht="17.25" hidden="1" customHeight="1">
      <c r="A116" s="121"/>
      <c r="B116" s="214"/>
      <c r="C116" s="214"/>
      <c r="D116" s="214"/>
      <c r="E116" s="214"/>
      <c r="F116" s="214"/>
      <c r="G116" s="214"/>
      <c r="H116" s="214"/>
      <c r="I116" s="214"/>
      <c r="J116" s="214"/>
      <c r="K116" s="214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  <c r="AA116" s="121"/>
      <c r="AB116" s="121"/>
      <c r="AC116" s="121"/>
      <c r="AD116" s="121"/>
      <c r="AE116" s="121"/>
      <c r="AF116" s="121"/>
      <c r="AG116" s="121"/>
      <c r="AH116" s="121"/>
      <c r="AI116" s="121"/>
      <c r="AJ116" s="121"/>
      <c r="AK116" s="121"/>
      <c r="AL116" s="121"/>
      <c r="AM116" s="121"/>
      <c r="AN116" s="121"/>
    </row>
    <row r="117" ht="17.25" hidden="1" customHeight="1">
      <c r="A117" s="121"/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121"/>
      <c r="AF117" s="121"/>
      <c r="AG117" s="121"/>
      <c r="AH117" s="121"/>
      <c r="AI117" s="121"/>
      <c r="AJ117" s="121"/>
      <c r="AK117" s="121"/>
      <c r="AL117" s="121"/>
      <c r="AM117" s="121"/>
      <c r="AN117" s="121"/>
    </row>
    <row r="118" ht="17.25" hidden="1" customHeight="1">
      <c r="A118" s="121"/>
      <c r="B118" s="214"/>
      <c r="C118" s="214"/>
      <c r="D118" s="214"/>
      <c r="E118" s="214"/>
      <c r="F118" s="214"/>
      <c r="G118" s="214"/>
      <c r="H118" s="214"/>
      <c r="I118" s="214"/>
      <c r="J118" s="214"/>
      <c r="K118" s="214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  <c r="AA118" s="121"/>
      <c r="AB118" s="121"/>
      <c r="AC118" s="121"/>
      <c r="AD118" s="121"/>
      <c r="AE118" s="121"/>
      <c r="AF118" s="121"/>
      <c r="AG118" s="121"/>
      <c r="AH118" s="121"/>
      <c r="AI118" s="121"/>
      <c r="AJ118" s="121"/>
      <c r="AK118" s="121"/>
      <c r="AL118" s="121"/>
      <c r="AM118" s="121"/>
      <c r="AN118" s="121"/>
    </row>
    <row r="119" ht="17.25" hidden="1" customHeight="1">
      <c r="A119" s="121"/>
      <c r="B119" s="214"/>
      <c r="C119" s="214"/>
      <c r="D119" s="214"/>
      <c r="E119" s="214"/>
      <c r="F119" s="214"/>
      <c r="G119" s="214"/>
      <c r="H119" s="214"/>
      <c r="I119" s="214"/>
      <c r="J119" s="214"/>
      <c r="K119" s="214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  <c r="AA119" s="121"/>
      <c r="AB119" s="121"/>
      <c r="AC119" s="121"/>
      <c r="AD119" s="121"/>
      <c r="AE119" s="121"/>
      <c r="AF119" s="121"/>
      <c r="AG119" s="121"/>
      <c r="AH119" s="121"/>
      <c r="AI119" s="121"/>
      <c r="AJ119" s="121"/>
      <c r="AK119" s="121"/>
      <c r="AL119" s="121"/>
      <c r="AM119" s="121"/>
      <c r="AN119" s="121"/>
    </row>
    <row r="120" ht="17.25" hidden="1" customHeight="1">
      <c r="A120" s="121"/>
      <c r="B120" s="214"/>
      <c r="C120" s="214"/>
      <c r="D120" s="214"/>
      <c r="E120" s="214"/>
      <c r="F120" s="214"/>
      <c r="G120" s="214"/>
      <c r="H120" s="214"/>
      <c r="I120" s="214"/>
      <c r="J120" s="214"/>
      <c r="K120" s="214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</row>
    <row r="121" ht="17.25" hidden="1" customHeight="1">
      <c r="A121" s="121"/>
      <c r="B121" s="214"/>
      <c r="C121" s="214"/>
      <c r="D121" s="214"/>
      <c r="E121" s="214"/>
      <c r="F121" s="214"/>
      <c r="G121" s="214"/>
      <c r="H121" s="214"/>
      <c r="I121" s="214"/>
      <c r="J121" s="214"/>
      <c r="K121" s="214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</row>
    <row r="122" ht="17.25" hidden="1" customHeight="1">
      <c r="A122" s="121"/>
      <c r="B122" s="214"/>
      <c r="C122" s="214"/>
      <c r="D122" s="214"/>
      <c r="E122" s="214"/>
      <c r="F122" s="214"/>
      <c r="G122" s="214"/>
      <c r="H122" s="214"/>
      <c r="I122" s="214"/>
      <c r="J122" s="214"/>
      <c r="K122" s="214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  <c r="AA122" s="121"/>
      <c r="AB122" s="121"/>
      <c r="AC122" s="121"/>
      <c r="AD122" s="121"/>
      <c r="AE122" s="121"/>
      <c r="AF122" s="121"/>
      <c r="AG122" s="121"/>
      <c r="AH122" s="121"/>
      <c r="AI122" s="121"/>
      <c r="AJ122" s="121"/>
      <c r="AK122" s="121"/>
      <c r="AL122" s="121"/>
      <c r="AM122" s="121"/>
      <c r="AN122" s="121"/>
    </row>
    <row r="123" ht="17.25" hidden="1" customHeight="1">
      <c r="A123" s="121"/>
      <c r="B123" s="214"/>
      <c r="C123" s="214"/>
      <c r="D123" s="214"/>
      <c r="E123" s="214"/>
      <c r="F123" s="214"/>
      <c r="G123" s="214"/>
      <c r="H123" s="214"/>
      <c r="I123" s="214"/>
      <c r="J123" s="214"/>
      <c r="K123" s="214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1"/>
      <c r="AL123" s="121"/>
      <c r="AM123" s="121"/>
      <c r="AN123" s="121"/>
    </row>
    <row r="124" ht="17.25" hidden="1" customHeight="1">
      <c r="A124" s="121"/>
      <c r="B124" s="214"/>
      <c r="C124" s="214"/>
      <c r="D124" s="214"/>
      <c r="E124" s="214"/>
      <c r="F124" s="214"/>
      <c r="G124" s="214"/>
      <c r="H124" s="214"/>
      <c r="I124" s="214"/>
      <c r="J124" s="214"/>
      <c r="K124" s="214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</row>
    <row r="125" ht="17.25" hidden="1" customHeight="1">
      <c r="A125" s="121"/>
      <c r="B125" s="214"/>
      <c r="C125" s="214"/>
      <c r="D125" s="214"/>
      <c r="E125" s="214"/>
      <c r="F125" s="214"/>
      <c r="G125" s="214"/>
      <c r="H125" s="214"/>
      <c r="I125" s="214"/>
      <c r="J125" s="214"/>
      <c r="K125" s="214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</row>
    <row r="126" ht="17.25" hidden="1" customHeight="1">
      <c r="A126" s="121"/>
      <c r="B126" s="213">
        <f>COUNTIF($P$55:$P$59, true)</f>
        <v>0</v>
      </c>
      <c r="C126" s="214" t="str">
        <f t="array" ref="C126:O130">$C$55:$O$59</f>
        <v/>
      </c>
      <c r="D126" s="214"/>
      <c r="E126" s="214"/>
      <c r="F126" s="214"/>
      <c r="G126" s="214"/>
      <c r="H126" s="214"/>
      <c r="I126" s="214"/>
      <c r="J126" s="214"/>
      <c r="K126" s="214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</row>
    <row r="127" ht="17.25" hidden="1" customHeight="1">
      <c r="A127" s="121"/>
      <c r="B127" s="214"/>
      <c r="C127" s="214"/>
      <c r="D127" s="214"/>
      <c r="E127" s="214"/>
      <c r="F127" s="214"/>
      <c r="G127" s="214"/>
      <c r="H127" s="214"/>
      <c r="I127" s="214"/>
      <c r="J127" s="214"/>
      <c r="K127" s="214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</row>
    <row r="128" ht="17.25" hidden="1" customHeight="1">
      <c r="A128" s="121"/>
      <c r="B128" s="214"/>
      <c r="C128" s="214"/>
      <c r="D128" s="214"/>
      <c r="E128" s="214"/>
      <c r="F128" s="214"/>
      <c r="G128" s="214"/>
      <c r="H128" s="214"/>
      <c r="I128" s="214"/>
      <c r="J128" s="214"/>
      <c r="K128" s="214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</row>
    <row r="129" ht="17.25" hidden="1" customHeight="1">
      <c r="A129" s="121"/>
      <c r="B129" s="214"/>
      <c r="C129" s="214"/>
      <c r="D129" s="214"/>
      <c r="E129" s="214"/>
      <c r="F129" s="214"/>
      <c r="G129" s="214"/>
      <c r="H129" s="214"/>
      <c r="I129" s="214"/>
      <c r="J129" s="214"/>
      <c r="K129" s="214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</row>
    <row r="130" ht="17.25" hidden="1" customHeight="1">
      <c r="A130" s="121"/>
      <c r="B130" s="214"/>
      <c r="C130" s="214"/>
      <c r="D130" s="214"/>
      <c r="E130" s="214"/>
      <c r="F130" s="214"/>
      <c r="G130" s="214"/>
      <c r="H130" s="214"/>
      <c r="I130" s="214"/>
      <c r="J130" s="214"/>
      <c r="K130" s="214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</row>
    <row r="131" ht="17.25" hidden="1" customHeight="1">
      <c r="A131" s="121"/>
      <c r="B131" s="214"/>
      <c r="C131" s="214"/>
      <c r="D131" s="214"/>
      <c r="E131" s="214"/>
      <c r="F131" s="214"/>
      <c r="G131" s="214"/>
      <c r="H131" s="214"/>
      <c r="I131" s="214"/>
      <c r="J131" s="214"/>
      <c r="K131" s="214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</row>
    <row r="132" ht="17.25" hidden="1" customHeight="1">
      <c r="A132" s="121"/>
      <c r="B132" s="214"/>
      <c r="C132" s="214"/>
      <c r="D132" s="214"/>
      <c r="E132" s="214"/>
      <c r="F132" s="214"/>
      <c r="G132" s="214"/>
      <c r="H132" s="214"/>
      <c r="I132" s="214"/>
      <c r="J132" s="214"/>
      <c r="K132" s="214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</row>
    <row r="133" ht="17.25" hidden="1" customHeight="1">
      <c r="A133" s="121"/>
      <c r="B133" s="214"/>
      <c r="C133" s="214"/>
      <c r="D133" s="214"/>
      <c r="E133" s="214"/>
      <c r="F133" s="214"/>
      <c r="G133" s="214"/>
      <c r="H133" s="214"/>
      <c r="I133" s="214"/>
      <c r="J133" s="214"/>
      <c r="K133" s="214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</row>
    <row r="134" ht="17.25" hidden="1" customHeight="1">
      <c r="A134" s="121"/>
      <c r="B134" s="214"/>
      <c r="C134" s="214"/>
      <c r="D134" s="214"/>
      <c r="E134" s="214"/>
      <c r="F134" s="214"/>
      <c r="G134" s="214"/>
      <c r="H134" s="214"/>
      <c r="I134" s="214"/>
      <c r="J134" s="214"/>
      <c r="K134" s="214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  <c r="AA134" s="121"/>
      <c r="AB134" s="121"/>
      <c r="AC134" s="121"/>
      <c r="AD134" s="121"/>
      <c r="AE134" s="121"/>
      <c r="AF134" s="121"/>
      <c r="AG134" s="121"/>
      <c r="AH134" s="121"/>
      <c r="AI134" s="121"/>
      <c r="AJ134" s="121"/>
      <c r="AK134" s="121"/>
      <c r="AL134" s="121"/>
      <c r="AM134" s="121"/>
      <c r="AN134" s="121"/>
    </row>
    <row r="135" ht="17.25" hidden="1" customHeight="1">
      <c r="A135" s="121"/>
      <c r="B135" s="214"/>
      <c r="C135" s="214"/>
      <c r="D135" s="214"/>
      <c r="E135" s="214"/>
      <c r="F135" s="214"/>
      <c r="G135" s="214"/>
      <c r="H135" s="214"/>
      <c r="I135" s="214"/>
      <c r="J135" s="214"/>
      <c r="K135" s="214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  <c r="AA135" s="121"/>
      <c r="AB135" s="121"/>
      <c r="AC135" s="121"/>
      <c r="AD135" s="121"/>
      <c r="AE135" s="121"/>
      <c r="AF135" s="121"/>
      <c r="AG135" s="121"/>
      <c r="AH135" s="121"/>
      <c r="AI135" s="121"/>
      <c r="AJ135" s="121"/>
      <c r="AK135" s="121"/>
      <c r="AL135" s="121"/>
      <c r="AM135" s="121"/>
      <c r="AN135" s="121"/>
    </row>
    <row r="136" ht="17.25" hidden="1" customHeight="1">
      <c r="A136" s="121"/>
      <c r="B136" s="214"/>
      <c r="C136" s="214"/>
      <c r="D136" s="214"/>
      <c r="E136" s="214"/>
      <c r="F136" s="214"/>
      <c r="G136" s="214"/>
      <c r="H136" s="214"/>
      <c r="I136" s="214"/>
      <c r="J136" s="214"/>
      <c r="K136" s="214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  <c r="AA136" s="121"/>
      <c r="AB136" s="121"/>
      <c r="AC136" s="121"/>
      <c r="AD136" s="121"/>
      <c r="AE136" s="121"/>
      <c r="AF136" s="121"/>
      <c r="AG136" s="121"/>
      <c r="AH136" s="121"/>
      <c r="AI136" s="121"/>
      <c r="AJ136" s="121"/>
      <c r="AK136" s="121"/>
      <c r="AL136" s="121"/>
      <c r="AM136" s="121"/>
      <c r="AN136" s="121"/>
    </row>
    <row r="137" ht="17.25" hidden="1" customHeight="1">
      <c r="A137" s="121"/>
      <c r="B137" s="214"/>
      <c r="C137" s="214"/>
      <c r="D137" s="214"/>
      <c r="E137" s="214"/>
      <c r="F137" s="214"/>
      <c r="G137" s="214"/>
      <c r="H137" s="214"/>
      <c r="I137" s="214"/>
      <c r="J137" s="214"/>
      <c r="K137" s="214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  <c r="AA137" s="121"/>
      <c r="AB137" s="121"/>
      <c r="AC137" s="121"/>
      <c r="AD137" s="121"/>
      <c r="AE137" s="121"/>
      <c r="AF137" s="121"/>
      <c r="AG137" s="121"/>
      <c r="AH137" s="121"/>
      <c r="AI137" s="121"/>
      <c r="AJ137" s="121"/>
      <c r="AK137" s="121"/>
      <c r="AL137" s="121"/>
      <c r="AM137" s="121"/>
      <c r="AN137" s="121"/>
    </row>
    <row r="138" ht="17.25" hidden="1" customHeight="1">
      <c r="A138" s="121"/>
      <c r="B138" s="214"/>
      <c r="C138" s="214"/>
      <c r="D138" s="214"/>
      <c r="E138" s="214"/>
      <c r="F138" s="214"/>
      <c r="G138" s="214"/>
      <c r="H138" s="214"/>
      <c r="I138" s="214"/>
      <c r="J138" s="214"/>
      <c r="K138" s="214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21"/>
      <c r="AH138" s="121"/>
      <c r="AI138" s="121"/>
      <c r="AJ138" s="121"/>
      <c r="AK138" s="121"/>
      <c r="AL138" s="121"/>
      <c r="AM138" s="121"/>
      <c r="AN138" s="121"/>
    </row>
    <row r="139" ht="17.25" hidden="1" customHeight="1">
      <c r="A139" s="121"/>
      <c r="B139" s="214"/>
      <c r="C139" s="214"/>
      <c r="D139" s="214"/>
      <c r="E139" s="214"/>
      <c r="F139" s="214"/>
      <c r="G139" s="214"/>
      <c r="H139" s="214"/>
      <c r="I139" s="214"/>
      <c r="J139" s="214"/>
      <c r="K139" s="214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  <c r="AA139" s="121"/>
      <c r="AB139" s="121"/>
      <c r="AC139" s="121"/>
      <c r="AD139" s="121"/>
      <c r="AE139" s="121"/>
      <c r="AF139" s="121"/>
      <c r="AG139" s="121"/>
      <c r="AH139" s="121"/>
      <c r="AI139" s="121"/>
      <c r="AJ139" s="121"/>
      <c r="AK139" s="121"/>
      <c r="AL139" s="121"/>
      <c r="AM139" s="121"/>
      <c r="AN139" s="121"/>
    </row>
    <row r="140" ht="17.25" hidden="1" customHeight="1">
      <c r="A140" s="121"/>
      <c r="B140" s="214"/>
      <c r="C140" s="214"/>
      <c r="D140" s="214"/>
      <c r="E140" s="214"/>
      <c r="F140" s="214"/>
      <c r="G140" s="214"/>
      <c r="H140" s="214"/>
      <c r="I140" s="214"/>
      <c r="J140" s="214"/>
      <c r="K140" s="214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  <c r="AA140" s="121"/>
      <c r="AB140" s="121"/>
      <c r="AC140" s="121"/>
      <c r="AD140" s="121"/>
      <c r="AE140" s="121"/>
      <c r="AF140" s="121"/>
      <c r="AG140" s="121"/>
      <c r="AH140" s="121"/>
      <c r="AI140" s="121"/>
      <c r="AJ140" s="121"/>
      <c r="AK140" s="121"/>
      <c r="AL140" s="121"/>
      <c r="AM140" s="121"/>
      <c r="AN140" s="121"/>
    </row>
  </sheetData>
  <mergeCells count="86">
    <mergeCell ref="AI38:AM38"/>
    <mergeCell ref="AI39:AM39"/>
    <mergeCell ref="B42:B43"/>
    <mergeCell ref="C42:H42"/>
    <mergeCell ref="Q42:V42"/>
    <mergeCell ref="C43:H43"/>
    <mergeCell ref="Q43:V43"/>
    <mergeCell ref="J42:O42"/>
    <mergeCell ref="J43:O43"/>
    <mergeCell ref="C44:H44"/>
    <mergeCell ref="J44:O44"/>
    <mergeCell ref="Q44:V44"/>
    <mergeCell ref="J45:O45"/>
    <mergeCell ref="Q45:V45"/>
    <mergeCell ref="C47:H47"/>
    <mergeCell ref="C49:I49"/>
    <mergeCell ref="B49:B51"/>
    <mergeCell ref="C51:I51"/>
    <mergeCell ref="C52:H52"/>
    <mergeCell ref="B54:B55"/>
    <mergeCell ref="C45:H45"/>
    <mergeCell ref="C46:H46"/>
    <mergeCell ref="J46:O46"/>
    <mergeCell ref="Q46:V46"/>
    <mergeCell ref="J47:O47"/>
    <mergeCell ref="Q47:V47"/>
    <mergeCell ref="Q50:W50"/>
    <mergeCell ref="C55:O55"/>
    <mergeCell ref="C56:O56"/>
    <mergeCell ref="C57:O57"/>
    <mergeCell ref="C58:O58"/>
    <mergeCell ref="C59:O59"/>
    <mergeCell ref="C50:I50"/>
    <mergeCell ref="J50:P50"/>
    <mergeCell ref="J51:P51"/>
    <mergeCell ref="Q51:W51"/>
    <mergeCell ref="J52:O52"/>
    <mergeCell ref="Q52:V52"/>
    <mergeCell ref="C54:P54"/>
    <mergeCell ref="O3:T3"/>
    <mergeCell ref="O4:T4"/>
    <mergeCell ref="B7:B8"/>
    <mergeCell ref="C7:I7"/>
    <mergeCell ref="J7:P7"/>
    <mergeCell ref="Q7:W7"/>
    <mergeCell ref="B2:H2"/>
    <mergeCell ref="AG2:AM5"/>
    <mergeCell ref="B3:H4"/>
    <mergeCell ref="I3:M3"/>
    <mergeCell ref="V3:Z3"/>
    <mergeCell ref="I4:M4"/>
    <mergeCell ref="V4:Z4"/>
    <mergeCell ref="B5:H5"/>
    <mergeCell ref="AB3:AF3"/>
    <mergeCell ref="AB4:AF4"/>
    <mergeCell ref="X7:AD7"/>
    <mergeCell ref="AE7:AG7"/>
    <mergeCell ref="AI7:AJ8"/>
    <mergeCell ref="AK7:AM8"/>
    <mergeCell ref="AK10:AM10"/>
    <mergeCell ref="AK11:AM11"/>
    <mergeCell ref="AK12:AM12"/>
    <mergeCell ref="AK13:AM13"/>
    <mergeCell ref="AK14:AM14"/>
    <mergeCell ref="AK15:AM15"/>
    <mergeCell ref="AK16:AM16"/>
    <mergeCell ref="AK17:AM17"/>
    <mergeCell ref="AK18:AM18"/>
    <mergeCell ref="AK19:AM19"/>
    <mergeCell ref="AK20:AM20"/>
    <mergeCell ref="AK21:AM21"/>
    <mergeCell ref="B36:AG36"/>
    <mergeCell ref="AI36:AM36"/>
    <mergeCell ref="AI37:AM37"/>
    <mergeCell ref="X42:AC42"/>
    <mergeCell ref="X43:AC43"/>
    <mergeCell ref="X44:AC44"/>
    <mergeCell ref="X45:AC45"/>
    <mergeCell ref="X46:AC46"/>
    <mergeCell ref="X47:AC47"/>
    <mergeCell ref="J49:P49"/>
    <mergeCell ref="Q49:W49"/>
    <mergeCell ref="X49:AD49"/>
    <mergeCell ref="X50:AD50"/>
    <mergeCell ref="X51:AD51"/>
    <mergeCell ref="X52:AC52"/>
  </mergeCells>
  <conditionalFormatting sqref="C23:AG23">
    <cfRule type="cellIs" dxfId="0" priority="1" operator="greaterThanOrEqual">
      <formula>"75%"</formula>
    </cfRule>
  </conditionalFormatting>
  <dataValidations>
    <dataValidation type="list" allowBlank="1" showErrorMessage="1" sqref="C37:AG39">
      <formula1>"10,9,8,7,6,5,4,3,2,1"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2" width="25.88"/>
    <col customWidth="1" min="3" max="19" width="4.25"/>
    <col customWidth="1" min="20" max="20" width="6.88"/>
    <col customWidth="1" min="21" max="33" width="4.25"/>
    <col customWidth="1" min="34" max="40" width="4.75"/>
  </cols>
  <sheetData>
    <row r="1" ht="17.25" customHeight="1">
      <c r="A1" s="120"/>
      <c r="B1" s="121"/>
      <c r="C1" s="122"/>
      <c r="D1" s="120"/>
      <c r="E1" s="121"/>
      <c r="F1" s="121"/>
      <c r="G1" s="121"/>
      <c r="H1" s="121"/>
      <c r="I1" s="121"/>
      <c r="J1" s="121"/>
      <c r="K1" s="121"/>
      <c r="L1" s="121"/>
      <c r="M1" s="123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</row>
    <row r="2" ht="17.25" customHeight="1">
      <c r="A2" s="120"/>
      <c r="B2" s="124"/>
      <c r="C2" s="21"/>
      <c r="D2" s="21"/>
      <c r="E2" s="21"/>
      <c r="F2" s="21"/>
      <c r="G2" s="21"/>
      <c r="H2" s="21"/>
      <c r="I2" s="125"/>
      <c r="J2" s="125"/>
      <c r="K2" s="125"/>
      <c r="L2" s="125"/>
      <c r="M2" s="126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21"/>
      <c r="AI2" s="21"/>
      <c r="AJ2" s="21"/>
      <c r="AK2" s="21"/>
      <c r="AL2" s="21"/>
      <c r="AM2" s="42"/>
      <c r="AN2" s="121"/>
    </row>
    <row r="3" ht="17.25" customHeight="1">
      <c r="A3" s="120"/>
      <c r="B3" s="33" t="s">
        <v>65</v>
      </c>
      <c r="I3" s="29" t="s">
        <v>39</v>
      </c>
      <c r="N3" s="127"/>
      <c r="O3" s="29" t="s">
        <v>41</v>
      </c>
      <c r="U3" s="127"/>
      <c r="V3" s="29" t="s">
        <v>42</v>
      </c>
      <c r="AA3" s="127"/>
      <c r="AB3" s="29" t="s">
        <v>26</v>
      </c>
      <c r="AM3" s="105"/>
      <c r="AN3" s="121"/>
    </row>
    <row r="4" ht="17.25" customHeight="1">
      <c r="A4" s="120"/>
      <c r="B4" s="85"/>
      <c r="I4" s="128">
        <f>SUM(countA($B$10:$B$21),$I$62)</f>
        <v>0</v>
      </c>
      <c r="N4" s="129"/>
      <c r="O4" s="130">
        <f>SUM(COUNTIF($C$10:$AG$21, true),$J$62)</f>
        <v>0</v>
      </c>
      <c r="U4" s="129"/>
      <c r="V4" s="131" t="str">
        <f>IFERROR(__xludf.DUMMYFUNCTION("iferror(SPARKLINE($AB$4:$AF$4,{""charttype"",""bar"";""max"",1;""color1"",""#c9e4b2""}))"),"")</f>
        <v/>
      </c>
      <c r="AA4" s="129"/>
      <c r="AB4" s="132">
        <f>$O$4/SUM(COUNTA($C$10:$AG$21),$K$62)</f>
        <v>0</v>
      </c>
      <c r="AM4" s="105"/>
      <c r="AN4" s="121"/>
    </row>
    <row r="5" ht="17.25" customHeight="1">
      <c r="A5" s="120"/>
      <c r="B5" s="133"/>
      <c r="C5" s="37"/>
      <c r="D5" s="37"/>
      <c r="E5" s="37"/>
      <c r="F5" s="37"/>
      <c r="G5" s="37"/>
      <c r="H5" s="37"/>
      <c r="I5" s="134"/>
      <c r="J5" s="134"/>
      <c r="K5" s="134"/>
      <c r="L5" s="134"/>
      <c r="M5" s="135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4"/>
      <c r="AG5" s="37"/>
      <c r="AH5" s="37"/>
      <c r="AI5" s="37"/>
      <c r="AJ5" s="37"/>
      <c r="AK5" s="37"/>
      <c r="AL5" s="37"/>
      <c r="AM5" s="44"/>
      <c r="AN5" s="121"/>
    </row>
    <row r="6" ht="17.25" customHeight="1">
      <c r="A6" s="120"/>
      <c r="B6" s="121"/>
      <c r="C6" s="122"/>
      <c r="D6" s="120"/>
      <c r="E6" s="121"/>
      <c r="F6" s="121"/>
      <c r="G6" s="121"/>
      <c r="H6" s="121"/>
      <c r="I6" s="121"/>
      <c r="J6" s="121"/>
      <c r="K6" s="121"/>
      <c r="L6" s="121"/>
      <c r="M6" s="123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</row>
    <row r="7" ht="17.25" customHeight="1">
      <c r="A7" s="120"/>
      <c r="B7" s="136" t="s">
        <v>43</v>
      </c>
      <c r="C7" s="190" t="s">
        <v>44</v>
      </c>
      <c r="D7" s="46"/>
      <c r="E7" s="46"/>
      <c r="F7" s="46"/>
      <c r="G7" s="46"/>
      <c r="H7" s="46"/>
      <c r="I7" s="47"/>
      <c r="J7" s="216" t="s">
        <v>45</v>
      </c>
      <c r="K7" s="46"/>
      <c r="L7" s="46"/>
      <c r="M7" s="46"/>
      <c r="N7" s="46"/>
      <c r="O7" s="46"/>
      <c r="P7" s="47"/>
      <c r="Q7" s="217" t="s">
        <v>46</v>
      </c>
      <c r="R7" s="46"/>
      <c r="S7" s="46"/>
      <c r="T7" s="46"/>
      <c r="U7" s="46"/>
      <c r="V7" s="46"/>
      <c r="W7" s="47"/>
      <c r="X7" s="218" t="s">
        <v>47</v>
      </c>
      <c r="Y7" s="46"/>
      <c r="Z7" s="46"/>
      <c r="AA7" s="46"/>
      <c r="AB7" s="46"/>
      <c r="AC7" s="46"/>
      <c r="AD7" s="47"/>
      <c r="AE7" s="141"/>
      <c r="AF7" s="46"/>
      <c r="AG7" s="47"/>
      <c r="AH7" s="121"/>
      <c r="AI7" s="62" t="s">
        <v>48</v>
      </c>
      <c r="AJ7" s="42"/>
      <c r="AK7" s="62" t="s">
        <v>49</v>
      </c>
      <c r="AL7" s="21"/>
      <c r="AM7" s="42"/>
      <c r="AN7" s="121"/>
    </row>
    <row r="8" ht="17.25" customHeight="1">
      <c r="A8" s="121"/>
      <c r="B8" s="86"/>
      <c r="C8" s="143">
        <f>weekday(date(Dashboard!$Q$3,$AG$45,C9),1)</f>
        <v>5</v>
      </c>
      <c r="D8" s="143">
        <f>weekday(date(Dashboard!$Q$3,$AG$45,D9),1)</f>
        <v>6</v>
      </c>
      <c r="E8" s="143">
        <f>weekday(date(Dashboard!$Q$3,$AG$45,E9),1)</f>
        <v>7</v>
      </c>
      <c r="F8" s="143">
        <f>weekday(date(Dashboard!$Q$3,$AG$45,F9),1)</f>
        <v>1</v>
      </c>
      <c r="G8" s="143">
        <f>weekday(date(Dashboard!$Q$3,$AG$45,G9),1)</f>
        <v>2</v>
      </c>
      <c r="H8" s="143">
        <f>weekday(date(Dashboard!$Q$3,$AG$45,H9),1)</f>
        <v>3</v>
      </c>
      <c r="I8" s="143">
        <f>weekday(date(Dashboard!$Q$3,$AG$45,I9),1)</f>
        <v>4</v>
      </c>
      <c r="J8" s="144">
        <f>weekday(date(Dashboard!$Q$3,$AG$45,J9),1)</f>
        <v>5</v>
      </c>
      <c r="K8" s="144">
        <f>weekday(date(Dashboard!$Q$3,$AG$45,K9),1)</f>
        <v>6</v>
      </c>
      <c r="L8" s="144">
        <f>weekday(date(Dashboard!$Q$3,$AG$45,L9),1)</f>
        <v>7</v>
      </c>
      <c r="M8" s="144">
        <f>weekday(date(Dashboard!$Q$3,$AG$45,M9),1)</f>
        <v>1</v>
      </c>
      <c r="N8" s="144">
        <f>weekday(date(Dashboard!$Q$3,$AG$45,N9),1)</f>
        <v>2</v>
      </c>
      <c r="O8" s="144">
        <f>weekday(date(Dashboard!$Q$3,$AG$45,O9),1)</f>
        <v>3</v>
      </c>
      <c r="P8" s="144">
        <f>weekday(date(Dashboard!$Q$3,$AG$45,P9),1)</f>
        <v>4</v>
      </c>
      <c r="Q8" s="145">
        <f>weekday(date(Dashboard!$Q$3,$AG$45,Q9),1)</f>
        <v>5</v>
      </c>
      <c r="R8" s="145">
        <f>weekday(date(Dashboard!$Q$3,$AG$45,R9),1)</f>
        <v>6</v>
      </c>
      <c r="S8" s="145">
        <f>weekday(date(Dashboard!$Q$3,$AG$45,S9),1)</f>
        <v>7</v>
      </c>
      <c r="T8" s="145">
        <f>weekday(date(Dashboard!$Q$3,$AG$45,T9),1)</f>
        <v>1</v>
      </c>
      <c r="U8" s="145">
        <f>weekday(date(Dashboard!$Q$3,$AG$45,U9),1)</f>
        <v>2</v>
      </c>
      <c r="V8" s="145">
        <f>weekday(date(Dashboard!$Q$3,$AG$45,V9),1)</f>
        <v>3</v>
      </c>
      <c r="W8" s="145">
        <f>weekday(date(Dashboard!$Q$3,$AG$45,W9),1)</f>
        <v>4</v>
      </c>
      <c r="X8" s="146">
        <f>weekday(date(Dashboard!$Q$3,$AG$45,X9),1)</f>
        <v>5</v>
      </c>
      <c r="Y8" s="146">
        <f>weekday(date(Dashboard!$Q$3,$AG$45,Y9),1)</f>
        <v>6</v>
      </c>
      <c r="Z8" s="146">
        <f>weekday(date(Dashboard!$Q$3,$AG$45,Z9),1)</f>
        <v>7</v>
      </c>
      <c r="AA8" s="146">
        <f>weekday(date(Dashboard!$Q$3,$AG$45,AA9),1)</f>
        <v>1</v>
      </c>
      <c r="AB8" s="146">
        <f>weekday(date(Dashboard!$Q$3,$AG$45,AB9),1)</f>
        <v>2</v>
      </c>
      <c r="AC8" s="146">
        <f>weekday(date(Dashboard!$Q$3,$AG$45,AC9),1)</f>
        <v>3</v>
      </c>
      <c r="AD8" s="146">
        <f>weekday(date(Dashboard!$Q$3,$AG$45,AD9),1)</f>
        <v>4</v>
      </c>
      <c r="AE8" s="147">
        <f>weekday(date(Dashboard!$Q$3,$AG$45,AE9),1)</f>
        <v>5</v>
      </c>
      <c r="AF8" s="147">
        <f>weekday(date(Dashboard!$Q$3,$AG$45,AF9),1)</f>
        <v>6</v>
      </c>
      <c r="AG8" s="148">
        <f>weekday(date(Dashboard!$Q$3,$AG$45,AG9),1)</f>
        <v>7</v>
      </c>
      <c r="AH8" s="149"/>
      <c r="AI8" s="43"/>
      <c r="AJ8" s="44"/>
      <c r="AK8" s="43"/>
      <c r="AL8" s="37"/>
      <c r="AM8" s="44"/>
      <c r="AN8" s="149"/>
    </row>
    <row r="9" ht="17.25" customHeight="1">
      <c r="A9" s="121"/>
      <c r="B9" s="150">
        <f>TODAY()</f>
        <v>46025</v>
      </c>
      <c r="C9" s="151">
        <v>1.0</v>
      </c>
      <c r="D9" s="151">
        <v>2.0</v>
      </c>
      <c r="E9" s="151">
        <v>3.0</v>
      </c>
      <c r="F9" s="151">
        <v>4.0</v>
      </c>
      <c r="G9" s="151">
        <v>5.0</v>
      </c>
      <c r="H9" s="151">
        <v>6.0</v>
      </c>
      <c r="I9" s="151">
        <v>7.0</v>
      </c>
      <c r="J9" s="152">
        <v>8.0</v>
      </c>
      <c r="K9" s="152">
        <v>9.0</v>
      </c>
      <c r="L9" s="152">
        <v>10.0</v>
      </c>
      <c r="M9" s="152">
        <v>11.0</v>
      </c>
      <c r="N9" s="152">
        <v>12.0</v>
      </c>
      <c r="O9" s="152">
        <v>13.0</v>
      </c>
      <c r="P9" s="152">
        <v>14.0</v>
      </c>
      <c r="Q9" s="153">
        <v>15.0</v>
      </c>
      <c r="R9" s="153">
        <v>16.0</v>
      </c>
      <c r="S9" s="153">
        <v>17.0</v>
      </c>
      <c r="T9" s="153">
        <v>18.0</v>
      </c>
      <c r="U9" s="153">
        <v>19.0</v>
      </c>
      <c r="V9" s="153">
        <v>20.0</v>
      </c>
      <c r="W9" s="153">
        <v>21.0</v>
      </c>
      <c r="X9" s="154">
        <v>22.0</v>
      </c>
      <c r="Y9" s="154">
        <v>23.0</v>
      </c>
      <c r="Z9" s="154">
        <v>24.0</v>
      </c>
      <c r="AA9" s="154">
        <v>25.0</v>
      </c>
      <c r="AB9" s="154">
        <v>26.0</v>
      </c>
      <c r="AC9" s="154">
        <v>27.0</v>
      </c>
      <c r="AD9" s="154">
        <v>28.0</v>
      </c>
      <c r="AE9" s="155">
        <v>29.0</v>
      </c>
      <c r="AF9" s="155">
        <v>30.0</v>
      </c>
      <c r="AG9" s="155">
        <v>31.0</v>
      </c>
      <c r="AH9" s="149"/>
      <c r="AI9" s="156" t="s">
        <v>14</v>
      </c>
      <c r="AJ9" s="156" t="s">
        <v>50</v>
      </c>
      <c r="AK9" s="157"/>
      <c r="AL9" s="158"/>
      <c r="AM9" s="159"/>
      <c r="AN9" s="149"/>
    </row>
    <row r="10" ht="17.25" customHeight="1">
      <c r="A10" s="121"/>
      <c r="B10" s="160"/>
      <c r="C10" s="161" t="b">
        <v>0</v>
      </c>
      <c r="D10" s="162" t="b">
        <v>0</v>
      </c>
      <c r="E10" s="162" t="b">
        <v>0</v>
      </c>
      <c r="F10" s="162" t="b">
        <v>0</v>
      </c>
      <c r="G10" s="162" t="b">
        <v>0</v>
      </c>
      <c r="H10" s="162" t="b">
        <v>0</v>
      </c>
      <c r="I10" s="162" t="b">
        <v>0</v>
      </c>
      <c r="J10" s="163" t="b">
        <v>0</v>
      </c>
      <c r="K10" s="163" t="b">
        <v>0</v>
      </c>
      <c r="L10" s="163" t="b">
        <v>0</v>
      </c>
      <c r="M10" s="163" t="b">
        <v>0</v>
      </c>
      <c r="N10" s="163" t="b">
        <v>0</v>
      </c>
      <c r="O10" s="163" t="b">
        <v>0</v>
      </c>
      <c r="P10" s="163" t="b">
        <v>0</v>
      </c>
      <c r="Q10" s="164" t="b">
        <v>0</v>
      </c>
      <c r="R10" s="164" t="b">
        <v>0</v>
      </c>
      <c r="S10" s="164" t="b">
        <v>0</v>
      </c>
      <c r="T10" s="164" t="b">
        <v>0</v>
      </c>
      <c r="U10" s="164" t="b">
        <v>0</v>
      </c>
      <c r="V10" s="164" t="b">
        <v>0</v>
      </c>
      <c r="W10" s="164" t="b">
        <v>0</v>
      </c>
      <c r="X10" s="165" t="b">
        <v>0</v>
      </c>
      <c r="Y10" s="165" t="b">
        <v>0</v>
      </c>
      <c r="Z10" s="165" t="b">
        <v>0</v>
      </c>
      <c r="AA10" s="165" t="b">
        <v>0</v>
      </c>
      <c r="AB10" s="165" t="b">
        <v>0</v>
      </c>
      <c r="AC10" s="165" t="b">
        <v>0</v>
      </c>
      <c r="AD10" s="165" t="b">
        <v>0</v>
      </c>
      <c r="AE10" s="166" t="b">
        <v>0</v>
      </c>
      <c r="AF10" s="166" t="b">
        <v>0</v>
      </c>
      <c r="AG10" s="166" t="b">
        <v>0</v>
      </c>
      <c r="AH10" s="149"/>
      <c r="AI10" s="167"/>
      <c r="AJ10" s="168">
        <f t="array" ref="AJ10:AJ21">MMULT(N($C$10:$AG$21), TRANSPOSE(COLUMN($C$10:$AG$21)^0))
</f>
        <v>0</v>
      </c>
      <c r="AK10" s="169" t="str">
        <f>IFERROR(__xludf.DUMMYFUNCTION("iferror(SPARKLINE(AJ10/AI10,{""charttype"",""bar"";""max"",1;""color1"",""#c9e4b2""}))"),"")</f>
        <v/>
      </c>
      <c r="AL10" s="46"/>
      <c r="AM10" s="47"/>
      <c r="AN10" s="170"/>
    </row>
    <row r="11" ht="17.25" customHeight="1">
      <c r="A11" s="121"/>
      <c r="B11" s="160"/>
      <c r="C11" s="161" t="b">
        <v>0</v>
      </c>
      <c r="D11" s="162" t="b">
        <v>0</v>
      </c>
      <c r="E11" s="162" t="b">
        <v>0</v>
      </c>
      <c r="F11" s="162" t="b">
        <v>0</v>
      </c>
      <c r="G11" s="162" t="b">
        <v>0</v>
      </c>
      <c r="H11" s="162" t="b">
        <v>0</v>
      </c>
      <c r="I11" s="162" t="b">
        <v>0</v>
      </c>
      <c r="J11" s="163" t="b">
        <v>0</v>
      </c>
      <c r="K11" s="163" t="b">
        <v>0</v>
      </c>
      <c r="L11" s="163" t="b">
        <v>0</v>
      </c>
      <c r="M11" s="163" t="b">
        <v>0</v>
      </c>
      <c r="N11" s="163" t="b">
        <v>0</v>
      </c>
      <c r="O11" s="163" t="b">
        <v>0</v>
      </c>
      <c r="P11" s="163" t="b">
        <v>0</v>
      </c>
      <c r="Q11" s="164" t="b">
        <v>0</v>
      </c>
      <c r="R11" s="164" t="b">
        <v>0</v>
      </c>
      <c r="S11" s="164" t="b">
        <v>0</v>
      </c>
      <c r="T11" s="164" t="b">
        <v>0</v>
      </c>
      <c r="U11" s="164" t="b">
        <v>0</v>
      </c>
      <c r="V11" s="164" t="b">
        <v>0</v>
      </c>
      <c r="W11" s="164" t="b">
        <v>0</v>
      </c>
      <c r="X11" s="165" t="b">
        <v>0</v>
      </c>
      <c r="Y11" s="165" t="b">
        <v>0</v>
      </c>
      <c r="Z11" s="165" t="b">
        <v>0</v>
      </c>
      <c r="AA11" s="165" t="b">
        <v>0</v>
      </c>
      <c r="AB11" s="165" t="b">
        <v>0</v>
      </c>
      <c r="AC11" s="165" t="b">
        <v>0</v>
      </c>
      <c r="AD11" s="165" t="b">
        <v>0</v>
      </c>
      <c r="AE11" s="166" t="b">
        <v>0</v>
      </c>
      <c r="AF11" s="166" t="b">
        <v>0</v>
      </c>
      <c r="AG11" s="166" t="b">
        <v>0</v>
      </c>
      <c r="AH11" s="149"/>
      <c r="AI11" s="167"/>
      <c r="AJ11" s="160">
        <v>0.0</v>
      </c>
      <c r="AK11" s="169" t="str">
        <f>IFERROR(__xludf.DUMMYFUNCTION("iferror(SPARKLINE(AJ11/AI11,{""charttype"",""bar"";""max"",1;""color1"",""#c9e4b2""}))"),"")</f>
        <v/>
      </c>
      <c r="AL11" s="46"/>
      <c r="AM11" s="47"/>
      <c r="AN11" s="170"/>
    </row>
    <row r="12" ht="17.25" customHeight="1">
      <c r="A12" s="121"/>
      <c r="B12" s="160"/>
      <c r="C12" s="161" t="b">
        <v>0</v>
      </c>
      <c r="D12" s="162" t="b">
        <v>0</v>
      </c>
      <c r="E12" s="162" t="b">
        <v>0</v>
      </c>
      <c r="F12" s="162" t="b">
        <v>0</v>
      </c>
      <c r="G12" s="162" t="b">
        <v>0</v>
      </c>
      <c r="H12" s="162" t="b">
        <v>0</v>
      </c>
      <c r="I12" s="162" t="b">
        <v>0</v>
      </c>
      <c r="J12" s="163" t="b">
        <v>0</v>
      </c>
      <c r="K12" s="163" t="b">
        <v>0</v>
      </c>
      <c r="L12" s="163" t="b">
        <v>0</v>
      </c>
      <c r="M12" s="163" t="b">
        <v>0</v>
      </c>
      <c r="N12" s="163" t="b">
        <v>0</v>
      </c>
      <c r="O12" s="163" t="b">
        <v>0</v>
      </c>
      <c r="P12" s="163" t="b">
        <v>0</v>
      </c>
      <c r="Q12" s="164" t="b">
        <v>0</v>
      </c>
      <c r="R12" s="164" t="b">
        <v>0</v>
      </c>
      <c r="S12" s="164" t="b">
        <v>0</v>
      </c>
      <c r="T12" s="164" t="b">
        <v>0</v>
      </c>
      <c r="U12" s="164" t="b">
        <v>0</v>
      </c>
      <c r="V12" s="164" t="b">
        <v>0</v>
      </c>
      <c r="W12" s="164" t="b">
        <v>0</v>
      </c>
      <c r="X12" s="165" t="b">
        <v>0</v>
      </c>
      <c r="Y12" s="165" t="b">
        <v>0</v>
      </c>
      <c r="Z12" s="165" t="b">
        <v>0</v>
      </c>
      <c r="AA12" s="165" t="b">
        <v>0</v>
      </c>
      <c r="AB12" s="165" t="b">
        <v>0</v>
      </c>
      <c r="AC12" s="165" t="b">
        <v>0</v>
      </c>
      <c r="AD12" s="165" t="b">
        <v>0</v>
      </c>
      <c r="AE12" s="166" t="b">
        <v>0</v>
      </c>
      <c r="AF12" s="166" t="b">
        <v>0</v>
      </c>
      <c r="AG12" s="166" t="b">
        <v>0</v>
      </c>
      <c r="AH12" s="149"/>
      <c r="AI12" s="167"/>
      <c r="AJ12" s="160">
        <v>0.0</v>
      </c>
      <c r="AK12" s="169" t="str">
        <f>IFERROR(__xludf.DUMMYFUNCTION("iferror(SPARKLINE(AJ12/AI12,{""charttype"",""bar"";""max"",1;""color1"",""#c9e4b2""}))"),"")</f>
        <v/>
      </c>
      <c r="AL12" s="46"/>
      <c r="AM12" s="47"/>
      <c r="AN12" s="170"/>
    </row>
    <row r="13" ht="17.25" customHeight="1">
      <c r="A13" s="121"/>
      <c r="B13" s="160"/>
      <c r="C13" s="161" t="b">
        <v>0</v>
      </c>
      <c r="D13" s="162" t="b">
        <v>0</v>
      </c>
      <c r="E13" s="162" t="b">
        <v>0</v>
      </c>
      <c r="F13" s="162" t="b">
        <v>0</v>
      </c>
      <c r="G13" s="162" t="b">
        <v>0</v>
      </c>
      <c r="H13" s="162" t="b">
        <v>0</v>
      </c>
      <c r="I13" s="162" t="b">
        <v>0</v>
      </c>
      <c r="J13" s="163" t="b">
        <v>0</v>
      </c>
      <c r="K13" s="163" t="b">
        <v>0</v>
      </c>
      <c r="L13" s="163" t="b">
        <v>0</v>
      </c>
      <c r="M13" s="163" t="b">
        <v>0</v>
      </c>
      <c r="N13" s="163" t="b">
        <v>0</v>
      </c>
      <c r="O13" s="163" t="b">
        <v>0</v>
      </c>
      <c r="P13" s="163" t="b">
        <v>0</v>
      </c>
      <c r="Q13" s="164" t="b">
        <v>0</v>
      </c>
      <c r="R13" s="164" t="b">
        <v>0</v>
      </c>
      <c r="S13" s="164" t="b">
        <v>0</v>
      </c>
      <c r="T13" s="164" t="b">
        <v>0</v>
      </c>
      <c r="U13" s="164" t="b">
        <v>0</v>
      </c>
      <c r="V13" s="164" t="b">
        <v>0</v>
      </c>
      <c r="W13" s="164" t="b">
        <v>0</v>
      </c>
      <c r="X13" s="165" t="b">
        <v>0</v>
      </c>
      <c r="Y13" s="165" t="b">
        <v>0</v>
      </c>
      <c r="Z13" s="165" t="b">
        <v>0</v>
      </c>
      <c r="AA13" s="165" t="b">
        <v>0</v>
      </c>
      <c r="AB13" s="165" t="b">
        <v>0</v>
      </c>
      <c r="AC13" s="165" t="b">
        <v>0</v>
      </c>
      <c r="AD13" s="165" t="b">
        <v>0</v>
      </c>
      <c r="AE13" s="166" t="b">
        <v>0</v>
      </c>
      <c r="AF13" s="166" t="b">
        <v>0</v>
      </c>
      <c r="AG13" s="166" t="b">
        <v>0</v>
      </c>
      <c r="AH13" s="149"/>
      <c r="AI13" s="167"/>
      <c r="AJ13" s="160">
        <v>0.0</v>
      </c>
      <c r="AK13" s="169" t="str">
        <f>IFERROR(__xludf.DUMMYFUNCTION("iferror(SPARKLINE(AJ13/AI13,{""charttype"",""bar"";""max"",1;""color1"",""#c9e4b2""}))"),"")</f>
        <v/>
      </c>
      <c r="AL13" s="46"/>
      <c r="AM13" s="47"/>
      <c r="AN13" s="170"/>
    </row>
    <row r="14" ht="17.25" customHeight="1">
      <c r="A14" s="121"/>
      <c r="B14" s="160"/>
      <c r="C14" s="161" t="b">
        <v>0</v>
      </c>
      <c r="D14" s="162" t="b">
        <v>0</v>
      </c>
      <c r="E14" s="162" t="b">
        <v>0</v>
      </c>
      <c r="F14" s="162" t="b">
        <v>0</v>
      </c>
      <c r="G14" s="162" t="b">
        <v>0</v>
      </c>
      <c r="H14" s="162" t="b">
        <v>0</v>
      </c>
      <c r="I14" s="162" t="b">
        <v>0</v>
      </c>
      <c r="J14" s="163" t="b">
        <v>0</v>
      </c>
      <c r="K14" s="163" t="b">
        <v>0</v>
      </c>
      <c r="L14" s="163" t="b">
        <v>0</v>
      </c>
      <c r="M14" s="163" t="b">
        <v>0</v>
      </c>
      <c r="N14" s="163" t="b">
        <v>0</v>
      </c>
      <c r="O14" s="163" t="b">
        <v>0</v>
      </c>
      <c r="P14" s="163" t="b">
        <v>0</v>
      </c>
      <c r="Q14" s="164" t="b">
        <v>0</v>
      </c>
      <c r="R14" s="164" t="b">
        <v>0</v>
      </c>
      <c r="S14" s="164" t="b">
        <v>0</v>
      </c>
      <c r="T14" s="164" t="b">
        <v>0</v>
      </c>
      <c r="U14" s="164" t="b">
        <v>0</v>
      </c>
      <c r="V14" s="164" t="b">
        <v>0</v>
      </c>
      <c r="W14" s="164" t="b">
        <v>0</v>
      </c>
      <c r="X14" s="165" t="b">
        <v>0</v>
      </c>
      <c r="Y14" s="165" t="b">
        <v>0</v>
      </c>
      <c r="Z14" s="165" t="b">
        <v>0</v>
      </c>
      <c r="AA14" s="165" t="b">
        <v>0</v>
      </c>
      <c r="AB14" s="165" t="b">
        <v>0</v>
      </c>
      <c r="AC14" s="165" t="b">
        <v>0</v>
      </c>
      <c r="AD14" s="165" t="b">
        <v>0</v>
      </c>
      <c r="AE14" s="166" t="b">
        <v>0</v>
      </c>
      <c r="AF14" s="166" t="b">
        <v>0</v>
      </c>
      <c r="AG14" s="166" t="b">
        <v>0</v>
      </c>
      <c r="AH14" s="149"/>
      <c r="AI14" s="167"/>
      <c r="AJ14" s="160">
        <v>0.0</v>
      </c>
      <c r="AK14" s="169" t="str">
        <f>IFERROR(__xludf.DUMMYFUNCTION("iferror(SPARKLINE(AJ14/AI14,{""charttype"",""bar"";""max"",1;""color1"",""#c9e4b2""}))"),"")</f>
        <v/>
      </c>
      <c r="AL14" s="46"/>
      <c r="AM14" s="47"/>
      <c r="AN14" s="170"/>
    </row>
    <row r="15" ht="17.25" customHeight="1">
      <c r="A15" s="121"/>
      <c r="B15" s="160"/>
      <c r="C15" s="161" t="b">
        <v>0</v>
      </c>
      <c r="D15" s="162" t="b">
        <v>0</v>
      </c>
      <c r="E15" s="162" t="b">
        <v>0</v>
      </c>
      <c r="F15" s="162" t="b">
        <v>0</v>
      </c>
      <c r="G15" s="162" t="b">
        <v>0</v>
      </c>
      <c r="H15" s="162" t="b">
        <v>0</v>
      </c>
      <c r="I15" s="162" t="b">
        <v>0</v>
      </c>
      <c r="J15" s="163" t="b">
        <v>0</v>
      </c>
      <c r="K15" s="163" t="b">
        <v>0</v>
      </c>
      <c r="L15" s="163" t="b">
        <v>0</v>
      </c>
      <c r="M15" s="163" t="b">
        <v>0</v>
      </c>
      <c r="N15" s="163" t="b">
        <v>0</v>
      </c>
      <c r="O15" s="163" t="b">
        <v>0</v>
      </c>
      <c r="P15" s="163" t="b">
        <v>0</v>
      </c>
      <c r="Q15" s="164" t="b">
        <v>0</v>
      </c>
      <c r="R15" s="164" t="b">
        <v>0</v>
      </c>
      <c r="S15" s="164" t="b">
        <v>0</v>
      </c>
      <c r="T15" s="164" t="b">
        <v>0</v>
      </c>
      <c r="U15" s="164" t="b">
        <v>0</v>
      </c>
      <c r="V15" s="164" t="b">
        <v>0</v>
      </c>
      <c r="W15" s="164" t="b">
        <v>0</v>
      </c>
      <c r="X15" s="165" t="b">
        <v>0</v>
      </c>
      <c r="Y15" s="165" t="b">
        <v>0</v>
      </c>
      <c r="Z15" s="165" t="b">
        <v>0</v>
      </c>
      <c r="AA15" s="165" t="b">
        <v>0</v>
      </c>
      <c r="AB15" s="165" t="b">
        <v>0</v>
      </c>
      <c r="AC15" s="165" t="b">
        <v>0</v>
      </c>
      <c r="AD15" s="165" t="b">
        <v>0</v>
      </c>
      <c r="AE15" s="166" t="b">
        <v>0</v>
      </c>
      <c r="AF15" s="166" t="b">
        <v>0</v>
      </c>
      <c r="AG15" s="166" t="b">
        <v>0</v>
      </c>
      <c r="AH15" s="149"/>
      <c r="AI15" s="167"/>
      <c r="AJ15" s="160">
        <v>0.0</v>
      </c>
      <c r="AK15" s="169" t="str">
        <f>IFERROR(__xludf.DUMMYFUNCTION("iferror(SPARKLINE(AJ15/AI15,{""charttype"",""bar"";""max"",1;""color1"",""#c9e4b2""}))"),"")</f>
        <v/>
      </c>
      <c r="AL15" s="46"/>
      <c r="AM15" s="47"/>
      <c r="AN15" s="170"/>
    </row>
    <row r="16" ht="17.25" customHeight="1">
      <c r="A16" s="121"/>
      <c r="B16" s="160"/>
      <c r="C16" s="161" t="b">
        <v>0</v>
      </c>
      <c r="D16" s="162" t="b">
        <v>0</v>
      </c>
      <c r="E16" s="162" t="b">
        <v>0</v>
      </c>
      <c r="F16" s="162" t="b">
        <v>0</v>
      </c>
      <c r="G16" s="162" t="b">
        <v>0</v>
      </c>
      <c r="H16" s="162" t="b">
        <v>0</v>
      </c>
      <c r="I16" s="162" t="b">
        <v>0</v>
      </c>
      <c r="J16" s="163" t="b">
        <v>0</v>
      </c>
      <c r="K16" s="163" t="b">
        <v>0</v>
      </c>
      <c r="L16" s="163" t="b">
        <v>0</v>
      </c>
      <c r="M16" s="163" t="b">
        <v>0</v>
      </c>
      <c r="N16" s="163" t="b">
        <v>0</v>
      </c>
      <c r="O16" s="163" t="b">
        <v>0</v>
      </c>
      <c r="P16" s="163" t="b">
        <v>0</v>
      </c>
      <c r="Q16" s="164" t="b">
        <v>0</v>
      </c>
      <c r="R16" s="164" t="b">
        <v>0</v>
      </c>
      <c r="S16" s="164" t="b">
        <v>0</v>
      </c>
      <c r="T16" s="164" t="b">
        <v>0</v>
      </c>
      <c r="U16" s="164" t="b">
        <v>0</v>
      </c>
      <c r="V16" s="164" t="b">
        <v>0</v>
      </c>
      <c r="W16" s="164" t="b">
        <v>0</v>
      </c>
      <c r="X16" s="165" t="b">
        <v>0</v>
      </c>
      <c r="Y16" s="165" t="b">
        <v>0</v>
      </c>
      <c r="Z16" s="165" t="b">
        <v>0</v>
      </c>
      <c r="AA16" s="165" t="b">
        <v>0</v>
      </c>
      <c r="AB16" s="165" t="b">
        <v>0</v>
      </c>
      <c r="AC16" s="165" t="b">
        <v>0</v>
      </c>
      <c r="AD16" s="165" t="b">
        <v>0</v>
      </c>
      <c r="AE16" s="166" t="b">
        <v>0</v>
      </c>
      <c r="AF16" s="166" t="b">
        <v>0</v>
      </c>
      <c r="AG16" s="166" t="b">
        <v>0</v>
      </c>
      <c r="AH16" s="149"/>
      <c r="AI16" s="167"/>
      <c r="AJ16" s="160">
        <v>0.0</v>
      </c>
      <c r="AK16" s="169" t="str">
        <f>IFERROR(__xludf.DUMMYFUNCTION("iferror(SPARKLINE(AJ16/AI16,{""charttype"",""bar"";""max"",1;""color1"",""#c9e4b2""}))"),"")</f>
        <v/>
      </c>
      <c r="AL16" s="46"/>
      <c r="AM16" s="47"/>
      <c r="AN16" s="170"/>
    </row>
    <row r="17" ht="17.25" customHeight="1">
      <c r="A17" s="121"/>
      <c r="B17" s="160"/>
      <c r="C17" s="161" t="b">
        <v>0</v>
      </c>
      <c r="D17" s="162" t="b">
        <v>0</v>
      </c>
      <c r="E17" s="162" t="b">
        <v>0</v>
      </c>
      <c r="F17" s="162" t="b">
        <v>0</v>
      </c>
      <c r="G17" s="162" t="b">
        <v>0</v>
      </c>
      <c r="H17" s="162" t="b">
        <v>0</v>
      </c>
      <c r="I17" s="162" t="b">
        <v>0</v>
      </c>
      <c r="J17" s="163" t="b">
        <v>0</v>
      </c>
      <c r="K17" s="163" t="b">
        <v>0</v>
      </c>
      <c r="L17" s="163" t="b">
        <v>0</v>
      </c>
      <c r="M17" s="163" t="b">
        <v>0</v>
      </c>
      <c r="N17" s="163" t="b">
        <v>0</v>
      </c>
      <c r="O17" s="163" t="b">
        <v>0</v>
      </c>
      <c r="P17" s="163" t="b">
        <v>0</v>
      </c>
      <c r="Q17" s="164" t="b">
        <v>0</v>
      </c>
      <c r="R17" s="164" t="b">
        <v>0</v>
      </c>
      <c r="S17" s="164" t="b">
        <v>0</v>
      </c>
      <c r="T17" s="164" t="b">
        <v>0</v>
      </c>
      <c r="U17" s="164" t="b">
        <v>0</v>
      </c>
      <c r="V17" s="164" t="b">
        <v>0</v>
      </c>
      <c r="W17" s="164" t="b">
        <v>0</v>
      </c>
      <c r="X17" s="165" t="b">
        <v>0</v>
      </c>
      <c r="Y17" s="165" t="b">
        <v>0</v>
      </c>
      <c r="Z17" s="165" t="b">
        <v>0</v>
      </c>
      <c r="AA17" s="165" t="b">
        <v>0</v>
      </c>
      <c r="AB17" s="165" t="b">
        <v>0</v>
      </c>
      <c r="AC17" s="165" t="b">
        <v>0</v>
      </c>
      <c r="AD17" s="165" t="b">
        <v>0</v>
      </c>
      <c r="AE17" s="166" t="b">
        <v>0</v>
      </c>
      <c r="AF17" s="166" t="b">
        <v>0</v>
      </c>
      <c r="AG17" s="166" t="b">
        <v>0</v>
      </c>
      <c r="AH17" s="149"/>
      <c r="AI17" s="167"/>
      <c r="AJ17" s="160">
        <v>0.0</v>
      </c>
      <c r="AK17" s="169" t="str">
        <f>IFERROR(__xludf.DUMMYFUNCTION("iferror(SPARKLINE(AJ17/AI17,{""charttype"",""bar"";""max"",1;""color1"",""#c9e4b2""}))"),"")</f>
        <v/>
      </c>
      <c r="AL17" s="46"/>
      <c r="AM17" s="47"/>
      <c r="AN17" s="170"/>
    </row>
    <row r="18" ht="17.25" customHeight="1">
      <c r="A18" s="121"/>
      <c r="B18" s="160"/>
      <c r="C18" s="161" t="b">
        <v>0</v>
      </c>
      <c r="D18" s="162" t="b">
        <v>0</v>
      </c>
      <c r="E18" s="162" t="b">
        <v>0</v>
      </c>
      <c r="F18" s="162" t="b">
        <v>0</v>
      </c>
      <c r="G18" s="162" t="b">
        <v>0</v>
      </c>
      <c r="H18" s="162" t="b">
        <v>0</v>
      </c>
      <c r="I18" s="162" t="b">
        <v>0</v>
      </c>
      <c r="J18" s="163" t="b">
        <v>0</v>
      </c>
      <c r="K18" s="163" t="b">
        <v>0</v>
      </c>
      <c r="L18" s="163" t="b">
        <v>0</v>
      </c>
      <c r="M18" s="163" t="b">
        <v>0</v>
      </c>
      <c r="N18" s="163" t="b">
        <v>0</v>
      </c>
      <c r="O18" s="163" t="b">
        <v>0</v>
      </c>
      <c r="P18" s="163" t="b">
        <v>0</v>
      </c>
      <c r="Q18" s="164" t="b">
        <v>0</v>
      </c>
      <c r="R18" s="164" t="b">
        <v>0</v>
      </c>
      <c r="S18" s="164" t="b">
        <v>0</v>
      </c>
      <c r="T18" s="164" t="b">
        <v>0</v>
      </c>
      <c r="U18" s="164" t="b">
        <v>0</v>
      </c>
      <c r="V18" s="164" t="b">
        <v>0</v>
      </c>
      <c r="W18" s="164" t="b">
        <v>0</v>
      </c>
      <c r="X18" s="165" t="b">
        <v>0</v>
      </c>
      <c r="Y18" s="165" t="b">
        <v>0</v>
      </c>
      <c r="Z18" s="165" t="b">
        <v>0</v>
      </c>
      <c r="AA18" s="165" t="b">
        <v>0</v>
      </c>
      <c r="AB18" s="165" t="b">
        <v>0</v>
      </c>
      <c r="AC18" s="165" t="b">
        <v>0</v>
      </c>
      <c r="AD18" s="165" t="b">
        <v>0</v>
      </c>
      <c r="AE18" s="166" t="b">
        <v>0</v>
      </c>
      <c r="AF18" s="166" t="b">
        <v>0</v>
      </c>
      <c r="AG18" s="166" t="b">
        <v>0</v>
      </c>
      <c r="AH18" s="149"/>
      <c r="AI18" s="167"/>
      <c r="AJ18" s="160">
        <v>0.0</v>
      </c>
      <c r="AK18" s="169" t="str">
        <f>IFERROR(__xludf.DUMMYFUNCTION("iferror(SPARKLINE(AJ18/AI18,{""charttype"",""bar"";""max"",1;""color1"",""#c9e4b2""}))"),"")</f>
        <v/>
      </c>
      <c r="AL18" s="46"/>
      <c r="AM18" s="47"/>
      <c r="AN18" s="170"/>
    </row>
    <row r="19" ht="17.25" customHeight="1">
      <c r="A19" s="121"/>
      <c r="B19" s="160"/>
      <c r="C19" s="161" t="b">
        <v>0</v>
      </c>
      <c r="D19" s="162" t="b">
        <v>0</v>
      </c>
      <c r="E19" s="162" t="b">
        <v>0</v>
      </c>
      <c r="F19" s="162" t="b">
        <v>0</v>
      </c>
      <c r="G19" s="162" t="b">
        <v>0</v>
      </c>
      <c r="H19" s="162" t="b">
        <v>0</v>
      </c>
      <c r="I19" s="162" t="b">
        <v>0</v>
      </c>
      <c r="J19" s="163" t="b">
        <v>0</v>
      </c>
      <c r="K19" s="163" t="b">
        <v>0</v>
      </c>
      <c r="L19" s="163" t="b">
        <v>0</v>
      </c>
      <c r="M19" s="163" t="b">
        <v>0</v>
      </c>
      <c r="N19" s="163" t="b">
        <v>0</v>
      </c>
      <c r="O19" s="163" t="b">
        <v>0</v>
      </c>
      <c r="P19" s="163" t="b">
        <v>0</v>
      </c>
      <c r="Q19" s="164" t="b">
        <v>0</v>
      </c>
      <c r="R19" s="164" t="b">
        <v>0</v>
      </c>
      <c r="S19" s="164" t="b">
        <v>0</v>
      </c>
      <c r="T19" s="164" t="b">
        <v>0</v>
      </c>
      <c r="U19" s="164" t="b">
        <v>0</v>
      </c>
      <c r="V19" s="164" t="b">
        <v>0</v>
      </c>
      <c r="W19" s="164" t="b">
        <v>0</v>
      </c>
      <c r="X19" s="165" t="b">
        <v>0</v>
      </c>
      <c r="Y19" s="165" t="b">
        <v>0</v>
      </c>
      <c r="Z19" s="165" t="b">
        <v>0</v>
      </c>
      <c r="AA19" s="165" t="b">
        <v>0</v>
      </c>
      <c r="AB19" s="165" t="b">
        <v>0</v>
      </c>
      <c r="AC19" s="165" t="b">
        <v>0</v>
      </c>
      <c r="AD19" s="165" t="b">
        <v>0</v>
      </c>
      <c r="AE19" s="166" t="b">
        <v>0</v>
      </c>
      <c r="AF19" s="166" t="b">
        <v>0</v>
      </c>
      <c r="AG19" s="166" t="b">
        <v>0</v>
      </c>
      <c r="AH19" s="149"/>
      <c r="AI19" s="167"/>
      <c r="AJ19" s="160">
        <v>0.0</v>
      </c>
      <c r="AK19" s="169" t="str">
        <f>IFERROR(__xludf.DUMMYFUNCTION("iferror(SPARKLINE(AJ19/AI19,{""charttype"",""bar"";""max"",1;""color1"",""#c9e4b2""}))"),"")</f>
        <v/>
      </c>
      <c r="AL19" s="46"/>
      <c r="AM19" s="47"/>
      <c r="AN19" s="170"/>
    </row>
    <row r="20" ht="17.25" customHeight="1">
      <c r="A20" s="121"/>
      <c r="B20" s="160"/>
      <c r="C20" s="161" t="b">
        <v>0</v>
      </c>
      <c r="D20" s="162" t="b">
        <v>0</v>
      </c>
      <c r="E20" s="162" t="b">
        <v>0</v>
      </c>
      <c r="F20" s="162" t="b">
        <v>0</v>
      </c>
      <c r="G20" s="162" t="b">
        <v>0</v>
      </c>
      <c r="H20" s="162" t="b">
        <v>0</v>
      </c>
      <c r="I20" s="162" t="b">
        <v>0</v>
      </c>
      <c r="J20" s="163" t="b">
        <v>0</v>
      </c>
      <c r="K20" s="163" t="b">
        <v>0</v>
      </c>
      <c r="L20" s="163" t="b">
        <v>0</v>
      </c>
      <c r="M20" s="163" t="b">
        <v>0</v>
      </c>
      <c r="N20" s="163" t="b">
        <v>0</v>
      </c>
      <c r="O20" s="163" t="b">
        <v>0</v>
      </c>
      <c r="P20" s="163" t="b">
        <v>0</v>
      </c>
      <c r="Q20" s="164" t="b">
        <v>0</v>
      </c>
      <c r="R20" s="164" t="b">
        <v>0</v>
      </c>
      <c r="S20" s="164" t="b">
        <v>0</v>
      </c>
      <c r="T20" s="164" t="b">
        <v>0</v>
      </c>
      <c r="U20" s="164" t="b">
        <v>0</v>
      </c>
      <c r="V20" s="164" t="b">
        <v>0</v>
      </c>
      <c r="W20" s="164" t="b">
        <v>0</v>
      </c>
      <c r="X20" s="165" t="b">
        <v>0</v>
      </c>
      <c r="Y20" s="165" t="b">
        <v>0</v>
      </c>
      <c r="Z20" s="165" t="b">
        <v>0</v>
      </c>
      <c r="AA20" s="165" t="b">
        <v>0</v>
      </c>
      <c r="AB20" s="165" t="b">
        <v>0</v>
      </c>
      <c r="AC20" s="165" t="b">
        <v>0</v>
      </c>
      <c r="AD20" s="165" t="b">
        <v>0</v>
      </c>
      <c r="AE20" s="166" t="b">
        <v>0</v>
      </c>
      <c r="AF20" s="166" t="b">
        <v>0</v>
      </c>
      <c r="AG20" s="166" t="b">
        <v>0</v>
      </c>
      <c r="AH20" s="149"/>
      <c r="AI20" s="167"/>
      <c r="AJ20" s="160">
        <v>0.0</v>
      </c>
      <c r="AK20" s="169" t="str">
        <f>IFERROR(__xludf.DUMMYFUNCTION("iferror(SPARKLINE(AJ20/AI20,{""charttype"",""bar"";""max"",1;""color1"",""#c9e4b2""}))"),"")</f>
        <v/>
      </c>
      <c r="AL20" s="46"/>
      <c r="AM20" s="47"/>
      <c r="AN20" s="170"/>
    </row>
    <row r="21" ht="17.25" customHeight="1">
      <c r="A21" s="121"/>
      <c r="B21" s="160"/>
      <c r="C21" s="171" t="b">
        <v>0</v>
      </c>
      <c r="D21" s="172" t="b">
        <v>0</v>
      </c>
      <c r="E21" s="172" t="b">
        <v>0</v>
      </c>
      <c r="F21" s="172" t="b">
        <v>0</v>
      </c>
      <c r="G21" s="172" t="b">
        <v>0</v>
      </c>
      <c r="H21" s="172" t="b">
        <v>0</v>
      </c>
      <c r="I21" s="172" t="b">
        <v>0</v>
      </c>
      <c r="J21" s="173" t="b">
        <v>0</v>
      </c>
      <c r="K21" s="173" t="b">
        <v>0</v>
      </c>
      <c r="L21" s="173" t="b">
        <v>0</v>
      </c>
      <c r="M21" s="173" t="b">
        <v>0</v>
      </c>
      <c r="N21" s="173" t="b">
        <v>0</v>
      </c>
      <c r="O21" s="173" t="b">
        <v>0</v>
      </c>
      <c r="P21" s="173" t="b">
        <v>0</v>
      </c>
      <c r="Q21" s="174" t="b">
        <v>0</v>
      </c>
      <c r="R21" s="174" t="b">
        <v>0</v>
      </c>
      <c r="S21" s="174" t="b">
        <v>0</v>
      </c>
      <c r="T21" s="174" t="b">
        <v>0</v>
      </c>
      <c r="U21" s="174" t="b">
        <v>0</v>
      </c>
      <c r="V21" s="174" t="b">
        <v>0</v>
      </c>
      <c r="W21" s="174" t="b">
        <v>0</v>
      </c>
      <c r="X21" s="175" t="b">
        <v>0</v>
      </c>
      <c r="Y21" s="175" t="b">
        <v>0</v>
      </c>
      <c r="Z21" s="175" t="b">
        <v>0</v>
      </c>
      <c r="AA21" s="175" t="b">
        <v>0</v>
      </c>
      <c r="AB21" s="175" t="b">
        <v>0</v>
      </c>
      <c r="AC21" s="175" t="b">
        <v>0</v>
      </c>
      <c r="AD21" s="175" t="b">
        <v>0</v>
      </c>
      <c r="AE21" s="176" t="b">
        <v>0</v>
      </c>
      <c r="AF21" s="176" t="b">
        <v>0</v>
      </c>
      <c r="AG21" s="176" t="b">
        <v>0</v>
      </c>
      <c r="AH21" s="149"/>
      <c r="AI21" s="167"/>
      <c r="AJ21" s="160">
        <v>0.0</v>
      </c>
      <c r="AK21" s="169" t="str">
        <f>IFERROR(__xludf.DUMMYFUNCTION("iferror(SPARKLINE(AJ21/AI21,{""charttype"",""bar"";""max"",1;""color1"",""#c9e4b2""}))"),"")</f>
        <v/>
      </c>
      <c r="AL21" s="46"/>
      <c r="AM21" s="47"/>
      <c r="AN21" s="170"/>
    </row>
    <row r="22" ht="17.25" customHeight="1">
      <c r="A22" s="121"/>
      <c r="B22" s="121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49"/>
      <c r="AK22" s="149"/>
      <c r="AL22" s="149"/>
      <c r="AM22" s="149"/>
      <c r="AN22" s="149"/>
    </row>
    <row r="23" ht="17.25" customHeight="1">
      <c r="A23" s="121"/>
      <c r="B23" s="219" t="s">
        <v>26</v>
      </c>
      <c r="C23" s="178">
        <f t="shared" ref="C23:AG23" si="1">COUNTIF(C10:C21, TRUE)/COUNTA(C10:C21)</f>
        <v>0</v>
      </c>
      <c r="D23" s="178">
        <f t="shared" si="1"/>
        <v>0</v>
      </c>
      <c r="E23" s="178">
        <f t="shared" si="1"/>
        <v>0</v>
      </c>
      <c r="F23" s="178">
        <f t="shared" si="1"/>
        <v>0</v>
      </c>
      <c r="G23" s="178">
        <f t="shared" si="1"/>
        <v>0</v>
      </c>
      <c r="H23" s="178">
        <f t="shared" si="1"/>
        <v>0</v>
      </c>
      <c r="I23" s="178">
        <f t="shared" si="1"/>
        <v>0</v>
      </c>
      <c r="J23" s="178">
        <f t="shared" si="1"/>
        <v>0</v>
      </c>
      <c r="K23" s="178">
        <f t="shared" si="1"/>
        <v>0</v>
      </c>
      <c r="L23" s="178">
        <f t="shared" si="1"/>
        <v>0</v>
      </c>
      <c r="M23" s="178">
        <f t="shared" si="1"/>
        <v>0</v>
      </c>
      <c r="N23" s="178">
        <f t="shared" si="1"/>
        <v>0</v>
      </c>
      <c r="O23" s="178">
        <f t="shared" si="1"/>
        <v>0</v>
      </c>
      <c r="P23" s="178">
        <f t="shared" si="1"/>
        <v>0</v>
      </c>
      <c r="Q23" s="178">
        <f t="shared" si="1"/>
        <v>0</v>
      </c>
      <c r="R23" s="178">
        <f t="shared" si="1"/>
        <v>0</v>
      </c>
      <c r="S23" s="178">
        <f t="shared" si="1"/>
        <v>0</v>
      </c>
      <c r="T23" s="178">
        <f t="shared" si="1"/>
        <v>0</v>
      </c>
      <c r="U23" s="178">
        <f t="shared" si="1"/>
        <v>0</v>
      </c>
      <c r="V23" s="178">
        <f t="shared" si="1"/>
        <v>0</v>
      </c>
      <c r="W23" s="178">
        <f t="shared" si="1"/>
        <v>0</v>
      </c>
      <c r="X23" s="178">
        <f t="shared" si="1"/>
        <v>0</v>
      </c>
      <c r="Y23" s="178">
        <f t="shared" si="1"/>
        <v>0</v>
      </c>
      <c r="Z23" s="178">
        <f t="shared" si="1"/>
        <v>0</v>
      </c>
      <c r="AA23" s="178">
        <f t="shared" si="1"/>
        <v>0</v>
      </c>
      <c r="AB23" s="178">
        <f t="shared" si="1"/>
        <v>0</v>
      </c>
      <c r="AC23" s="178">
        <f t="shared" si="1"/>
        <v>0</v>
      </c>
      <c r="AD23" s="178">
        <f t="shared" si="1"/>
        <v>0</v>
      </c>
      <c r="AE23" s="178">
        <f t="shared" si="1"/>
        <v>0</v>
      </c>
      <c r="AF23" s="178">
        <f t="shared" si="1"/>
        <v>0</v>
      </c>
      <c r="AG23" s="178">
        <f t="shared" si="1"/>
        <v>0</v>
      </c>
      <c r="AH23" s="149"/>
      <c r="AI23" s="179"/>
      <c r="AJ23" s="180"/>
      <c r="AK23" s="149"/>
      <c r="AL23" s="149"/>
      <c r="AM23" s="149"/>
      <c r="AN23" s="149"/>
    </row>
    <row r="24" ht="17.25" customHeight="1">
      <c r="A24" s="121"/>
      <c r="B24" s="219" t="s">
        <v>51</v>
      </c>
      <c r="C24" s="181">
        <f t="shared" ref="C24:AG24" si="2">COUNTIF(C10:C21, true)</f>
        <v>0</v>
      </c>
      <c r="D24" s="181">
        <f t="shared" si="2"/>
        <v>0</v>
      </c>
      <c r="E24" s="181">
        <f t="shared" si="2"/>
        <v>0</v>
      </c>
      <c r="F24" s="181">
        <f t="shared" si="2"/>
        <v>0</v>
      </c>
      <c r="G24" s="181">
        <f t="shared" si="2"/>
        <v>0</v>
      </c>
      <c r="H24" s="181">
        <f t="shared" si="2"/>
        <v>0</v>
      </c>
      <c r="I24" s="181">
        <f t="shared" si="2"/>
        <v>0</v>
      </c>
      <c r="J24" s="181">
        <f t="shared" si="2"/>
        <v>0</v>
      </c>
      <c r="K24" s="181">
        <f t="shared" si="2"/>
        <v>0</v>
      </c>
      <c r="L24" s="181">
        <f t="shared" si="2"/>
        <v>0</v>
      </c>
      <c r="M24" s="181">
        <f t="shared" si="2"/>
        <v>0</v>
      </c>
      <c r="N24" s="181">
        <f t="shared" si="2"/>
        <v>0</v>
      </c>
      <c r="O24" s="181">
        <f t="shared" si="2"/>
        <v>0</v>
      </c>
      <c r="P24" s="181">
        <f t="shared" si="2"/>
        <v>0</v>
      </c>
      <c r="Q24" s="181">
        <f t="shared" si="2"/>
        <v>0</v>
      </c>
      <c r="R24" s="181">
        <f t="shared" si="2"/>
        <v>0</v>
      </c>
      <c r="S24" s="181">
        <f t="shared" si="2"/>
        <v>0</v>
      </c>
      <c r="T24" s="181">
        <f t="shared" si="2"/>
        <v>0</v>
      </c>
      <c r="U24" s="181">
        <f t="shared" si="2"/>
        <v>0</v>
      </c>
      <c r="V24" s="181">
        <f t="shared" si="2"/>
        <v>0</v>
      </c>
      <c r="W24" s="181">
        <f t="shared" si="2"/>
        <v>0</v>
      </c>
      <c r="X24" s="181">
        <f t="shared" si="2"/>
        <v>0</v>
      </c>
      <c r="Y24" s="181">
        <f t="shared" si="2"/>
        <v>0</v>
      </c>
      <c r="Z24" s="181">
        <f t="shared" si="2"/>
        <v>0</v>
      </c>
      <c r="AA24" s="181">
        <f t="shared" si="2"/>
        <v>0</v>
      </c>
      <c r="AB24" s="181">
        <f t="shared" si="2"/>
        <v>0</v>
      </c>
      <c r="AC24" s="181">
        <f t="shared" si="2"/>
        <v>0</v>
      </c>
      <c r="AD24" s="181">
        <f t="shared" si="2"/>
        <v>0</v>
      </c>
      <c r="AE24" s="181">
        <f t="shared" si="2"/>
        <v>0</v>
      </c>
      <c r="AF24" s="181">
        <f t="shared" si="2"/>
        <v>0</v>
      </c>
      <c r="AG24" s="181">
        <f t="shared" si="2"/>
        <v>0</v>
      </c>
      <c r="AH24" s="149"/>
      <c r="AI24" s="179"/>
      <c r="AJ24" s="180"/>
      <c r="AK24" s="149"/>
      <c r="AL24" s="149"/>
      <c r="AM24" s="149"/>
      <c r="AN24" s="149"/>
    </row>
    <row r="25" ht="17.25" customHeight="1">
      <c r="A25" s="121"/>
      <c r="B25" s="219" t="s">
        <v>52</v>
      </c>
      <c r="C25" s="182">
        <f t="shared" ref="C25:AG25" si="3">COUNTIF(C10:C21, false)</f>
        <v>12</v>
      </c>
      <c r="D25" s="182">
        <f t="shared" si="3"/>
        <v>12</v>
      </c>
      <c r="E25" s="182">
        <f t="shared" si="3"/>
        <v>12</v>
      </c>
      <c r="F25" s="182">
        <f t="shared" si="3"/>
        <v>12</v>
      </c>
      <c r="G25" s="182">
        <f t="shared" si="3"/>
        <v>12</v>
      </c>
      <c r="H25" s="182">
        <f t="shared" si="3"/>
        <v>12</v>
      </c>
      <c r="I25" s="182">
        <f t="shared" si="3"/>
        <v>12</v>
      </c>
      <c r="J25" s="182">
        <f t="shared" si="3"/>
        <v>12</v>
      </c>
      <c r="K25" s="182">
        <f t="shared" si="3"/>
        <v>12</v>
      </c>
      <c r="L25" s="182">
        <f t="shared" si="3"/>
        <v>12</v>
      </c>
      <c r="M25" s="182">
        <f t="shared" si="3"/>
        <v>12</v>
      </c>
      <c r="N25" s="182">
        <f t="shared" si="3"/>
        <v>12</v>
      </c>
      <c r="O25" s="182">
        <f t="shared" si="3"/>
        <v>12</v>
      </c>
      <c r="P25" s="182">
        <f t="shared" si="3"/>
        <v>12</v>
      </c>
      <c r="Q25" s="182">
        <f t="shared" si="3"/>
        <v>12</v>
      </c>
      <c r="R25" s="182">
        <f t="shared" si="3"/>
        <v>12</v>
      </c>
      <c r="S25" s="182">
        <f t="shared" si="3"/>
        <v>12</v>
      </c>
      <c r="T25" s="182">
        <f t="shared" si="3"/>
        <v>12</v>
      </c>
      <c r="U25" s="182">
        <f t="shared" si="3"/>
        <v>12</v>
      </c>
      <c r="V25" s="182">
        <f t="shared" si="3"/>
        <v>12</v>
      </c>
      <c r="W25" s="182">
        <f t="shared" si="3"/>
        <v>12</v>
      </c>
      <c r="X25" s="182">
        <f t="shared" si="3"/>
        <v>12</v>
      </c>
      <c r="Y25" s="182">
        <f t="shared" si="3"/>
        <v>12</v>
      </c>
      <c r="Z25" s="182">
        <f t="shared" si="3"/>
        <v>12</v>
      </c>
      <c r="AA25" s="182">
        <f t="shared" si="3"/>
        <v>12</v>
      </c>
      <c r="AB25" s="182">
        <f t="shared" si="3"/>
        <v>12</v>
      </c>
      <c r="AC25" s="182">
        <f t="shared" si="3"/>
        <v>12</v>
      </c>
      <c r="AD25" s="182">
        <f t="shared" si="3"/>
        <v>12</v>
      </c>
      <c r="AE25" s="182">
        <f t="shared" si="3"/>
        <v>12</v>
      </c>
      <c r="AF25" s="182">
        <f t="shared" si="3"/>
        <v>12</v>
      </c>
      <c r="AG25" s="182">
        <f t="shared" si="3"/>
        <v>12</v>
      </c>
      <c r="AH25" s="149"/>
      <c r="AI25" s="179"/>
      <c r="AJ25" s="180"/>
      <c r="AK25" s="149"/>
      <c r="AL25" s="149"/>
      <c r="AM25" s="149"/>
      <c r="AN25" s="149"/>
    </row>
    <row r="26" ht="17.25" customHeight="1">
      <c r="A26" s="121"/>
      <c r="B26" s="121"/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  <c r="AA26" s="149"/>
      <c r="AB26" s="149"/>
      <c r="AC26" s="149"/>
      <c r="AD26" s="149"/>
      <c r="AE26" s="149"/>
      <c r="AF26" s="149"/>
      <c r="AG26" s="149"/>
      <c r="AH26" s="149"/>
      <c r="AI26" s="179"/>
      <c r="AJ26" s="180"/>
      <c r="AK26" s="149"/>
      <c r="AL26" s="149"/>
      <c r="AM26" s="149"/>
      <c r="AN26" s="149"/>
    </row>
    <row r="27" ht="17.25" customHeight="1">
      <c r="A27" s="121"/>
      <c r="B27" s="121"/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  <c r="AA27" s="149"/>
      <c r="AB27" s="149"/>
      <c r="AC27" s="149"/>
      <c r="AD27" s="149"/>
      <c r="AE27" s="149"/>
      <c r="AF27" s="149"/>
      <c r="AG27" s="149"/>
      <c r="AH27" s="149"/>
      <c r="AI27" s="179"/>
      <c r="AJ27" s="180"/>
      <c r="AK27" s="149"/>
      <c r="AL27" s="149"/>
      <c r="AM27" s="149"/>
      <c r="AN27" s="149"/>
    </row>
    <row r="28" ht="17.25" customHeight="1">
      <c r="A28" s="121"/>
      <c r="B28" s="121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  <c r="AB28" s="149"/>
      <c r="AC28" s="149"/>
      <c r="AD28" s="149"/>
      <c r="AE28" s="149"/>
      <c r="AF28" s="149"/>
      <c r="AG28" s="149"/>
      <c r="AH28" s="149"/>
      <c r="AI28" s="179"/>
      <c r="AJ28" s="180"/>
      <c r="AK28" s="149"/>
      <c r="AL28" s="149"/>
      <c r="AM28" s="149"/>
      <c r="AN28" s="149"/>
    </row>
    <row r="29" ht="17.25" customHeight="1">
      <c r="A29" s="121"/>
      <c r="B29" s="121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79"/>
      <c r="AJ29" s="180"/>
      <c r="AK29" s="149"/>
      <c r="AL29" s="149"/>
      <c r="AM29" s="149"/>
      <c r="AN29" s="149"/>
    </row>
    <row r="30" ht="17.25" customHeight="1">
      <c r="A30" s="121"/>
      <c r="B30" s="121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49"/>
      <c r="AE30" s="149"/>
      <c r="AF30" s="149"/>
      <c r="AG30" s="149"/>
      <c r="AH30" s="149"/>
      <c r="AI30" s="179"/>
      <c r="AJ30" s="180"/>
      <c r="AK30" s="149"/>
      <c r="AL30" s="149"/>
      <c r="AM30" s="149"/>
      <c r="AN30" s="149"/>
    </row>
    <row r="31" ht="17.25" customHeight="1">
      <c r="A31" s="121"/>
      <c r="B31" s="121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  <c r="AI31" s="179"/>
      <c r="AJ31" s="180"/>
      <c r="AK31" s="149"/>
      <c r="AL31" s="149"/>
      <c r="AM31" s="149"/>
      <c r="AN31" s="149"/>
    </row>
    <row r="32" ht="17.25" customHeight="1">
      <c r="A32" s="121"/>
      <c r="B32" s="121"/>
      <c r="C32" s="149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79"/>
      <c r="AJ32" s="180"/>
      <c r="AK32" s="149"/>
      <c r="AL32" s="149"/>
      <c r="AM32" s="149"/>
      <c r="AN32" s="149"/>
    </row>
    <row r="33" ht="17.25" customHeight="1">
      <c r="A33" s="121"/>
      <c r="B33" s="121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149"/>
      <c r="AG33" s="149"/>
      <c r="AH33" s="149"/>
      <c r="AI33" s="179"/>
      <c r="AJ33" s="180"/>
      <c r="AK33" s="149"/>
      <c r="AL33" s="149"/>
      <c r="AM33" s="149"/>
      <c r="AN33" s="149"/>
    </row>
    <row r="34" ht="17.25" customHeight="1">
      <c r="A34" s="121"/>
      <c r="B34" s="121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  <c r="AC34" s="149"/>
      <c r="AD34" s="149"/>
      <c r="AE34" s="149"/>
      <c r="AF34" s="149"/>
      <c r="AG34" s="149"/>
      <c r="AH34" s="149"/>
      <c r="AI34" s="179"/>
      <c r="AJ34" s="180"/>
      <c r="AK34" s="149"/>
      <c r="AL34" s="149"/>
      <c r="AM34" s="149"/>
      <c r="AN34" s="149"/>
    </row>
    <row r="35" ht="17.25" customHeight="1">
      <c r="A35" s="121"/>
      <c r="B35" s="121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149"/>
      <c r="AE35" s="149"/>
      <c r="AF35" s="149"/>
      <c r="AG35" s="149"/>
      <c r="AH35" s="149"/>
      <c r="AI35" s="183"/>
      <c r="AJ35" s="183"/>
      <c r="AK35" s="149"/>
      <c r="AL35" s="149"/>
      <c r="AM35" s="149"/>
      <c r="AN35" s="149"/>
    </row>
    <row r="36" ht="17.25" customHeight="1">
      <c r="A36" s="121"/>
      <c r="B36" s="184" t="s">
        <v>53</v>
      </c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7"/>
      <c r="AH36" s="149"/>
      <c r="AI36" s="184" t="s">
        <v>54</v>
      </c>
      <c r="AJ36" s="46"/>
      <c r="AK36" s="46"/>
      <c r="AL36" s="46"/>
      <c r="AM36" s="47"/>
      <c r="AN36" s="149"/>
    </row>
    <row r="37" ht="17.25" customHeight="1">
      <c r="A37" s="121"/>
      <c r="B37" s="185" t="s">
        <v>55</v>
      </c>
      <c r="C37" s="186"/>
      <c r="D37" s="186"/>
      <c r="E37" s="186"/>
      <c r="F37" s="186"/>
      <c r="G37" s="186"/>
      <c r="H37" s="186"/>
      <c r="I37" s="186"/>
      <c r="J37" s="186"/>
      <c r="K37" s="186"/>
      <c r="L37" s="186"/>
      <c r="M37" s="186"/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  <c r="AA37" s="186"/>
      <c r="AB37" s="186"/>
      <c r="AC37" s="186"/>
      <c r="AD37" s="186"/>
      <c r="AE37" s="186"/>
      <c r="AF37" s="186"/>
      <c r="AG37" s="186"/>
      <c r="AH37" s="149"/>
      <c r="AI37" s="187" t="str">
        <f t="shared" ref="AI37:AI39" si="4">iferror(Average(C37:AG37), "")</f>
        <v/>
      </c>
      <c r="AJ37" s="46"/>
      <c r="AK37" s="46"/>
      <c r="AL37" s="46"/>
      <c r="AM37" s="47"/>
      <c r="AN37" s="149"/>
    </row>
    <row r="38" ht="17.25" customHeight="1">
      <c r="A38" s="121"/>
      <c r="B38" s="185" t="s">
        <v>56</v>
      </c>
      <c r="C38" s="188"/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88"/>
      <c r="P38" s="188"/>
      <c r="Q38" s="188"/>
      <c r="R38" s="188"/>
      <c r="S38" s="188"/>
      <c r="T38" s="188"/>
      <c r="U38" s="188"/>
      <c r="V38" s="188"/>
      <c r="W38" s="188"/>
      <c r="X38" s="188"/>
      <c r="Y38" s="188"/>
      <c r="Z38" s="188"/>
      <c r="AA38" s="188"/>
      <c r="AB38" s="188"/>
      <c r="AC38" s="188"/>
      <c r="AD38" s="188"/>
      <c r="AE38" s="188"/>
      <c r="AF38" s="188"/>
      <c r="AG38" s="188"/>
      <c r="AH38" s="149"/>
      <c r="AI38" s="187" t="str">
        <f t="shared" si="4"/>
        <v/>
      </c>
      <c r="AJ38" s="46"/>
      <c r="AK38" s="46"/>
      <c r="AL38" s="46"/>
      <c r="AM38" s="47"/>
      <c r="AN38" s="149"/>
    </row>
    <row r="39" ht="17.25" customHeight="1">
      <c r="A39" s="121"/>
      <c r="B39" s="185" t="s">
        <v>63</v>
      </c>
      <c r="C39" s="189"/>
      <c r="D39" s="189"/>
      <c r="E39" s="189"/>
      <c r="F39" s="189"/>
      <c r="G39" s="189"/>
      <c r="H39" s="189"/>
      <c r="I39" s="189"/>
      <c r="J39" s="189"/>
      <c r="K39" s="189"/>
      <c r="L39" s="189"/>
      <c r="M39" s="189"/>
      <c r="N39" s="189"/>
      <c r="O39" s="189"/>
      <c r="P39" s="189"/>
      <c r="Q39" s="189"/>
      <c r="R39" s="189"/>
      <c r="S39" s="189"/>
      <c r="T39" s="189"/>
      <c r="U39" s="189"/>
      <c r="V39" s="189"/>
      <c r="W39" s="189"/>
      <c r="X39" s="189"/>
      <c r="Y39" s="189"/>
      <c r="Z39" s="189"/>
      <c r="AA39" s="189"/>
      <c r="AB39" s="189"/>
      <c r="AC39" s="189"/>
      <c r="AD39" s="189"/>
      <c r="AE39" s="189"/>
      <c r="AF39" s="189"/>
      <c r="AG39" s="189"/>
      <c r="AH39" s="149"/>
      <c r="AI39" s="187" t="str">
        <f t="shared" si="4"/>
        <v/>
      </c>
      <c r="AJ39" s="46"/>
      <c r="AK39" s="46"/>
      <c r="AL39" s="46"/>
      <c r="AM39" s="47"/>
      <c r="AN39" s="149"/>
    </row>
    <row r="40" ht="17.25" customHeight="1">
      <c r="A40" s="121"/>
      <c r="B40" s="121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  <c r="AK40" s="149"/>
      <c r="AL40" s="149"/>
      <c r="AM40" s="149"/>
      <c r="AN40" s="149"/>
    </row>
    <row r="41" ht="17.25" customHeight="1">
      <c r="A41" s="121"/>
      <c r="B41" s="121"/>
      <c r="C41" s="149"/>
      <c r="D41" s="149"/>
      <c r="E41" s="149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  <c r="AB41" s="149"/>
      <c r="AC41" s="149"/>
      <c r="AD41" s="149"/>
      <c r="AE41" s="149"/>
      <c r="AF41" s="149"/>
      <c r="AG41" s="149"/>
      <c r="AH41" s="149"/>
      <c r="AI41" s="149"/>
      <c r="AJ41" s="149"/>
      <c r="AK41" s="149"/>
      <c r="AL41" s="149"/>
      <c r="AM41" s="149"/>
      <c r="AN41" s="149"/>
    </row>
    <row r="42" ht="17.25" customHeight="1">
      <c r="A42" s="121"/>
      <c r="B42" s="136" t="s">
        <v>58</v>
      </c>
      <c r="C42" s="190" t="s">
        <v>44</v>
      </c>
      <c r="D42" s="46"/>
      <c r="E42" s="46"/>
      <c r="F42" s="46"/>
      <c r="G42" s="46"/>
      <c r="H42" s="47"/>
      <c r="I42" s="151"/>
      <c r="J42" s="191" t="s">
        <v>45</v>
      </c>
      <c r="K42" s="46"/>
      <c r="L42" s="46"/>
      <c r="M42" s="46"/>
      <c r="N42" s="46"/>
      <c r="O42" s="47"/>
      <c r="P42" s="152"/>
      <c r="Q42" s="192" t="s">
        <v>46</v>
      </c>
      <c r="R42" s="46"/>
      <c r="S42" s="46"/>
      <c r="T42" s="46"/>
      <c r="U42" s="46"/>
      <c r="V42" s="47"/>
      <c r="W42" s="154"/>
      <c r="X42" s="193" t="s">
        <v>47</v>
      </c>
      <c r="Y42" s="46"/>
      <c r="Z42" s="46"/>
      <c r="AA42" s="46"/>
      <c r="AB42" s="46"/>
      <c r="AC42" s="47"/>
      <c r="AD42" s="153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</row>
    <row r="43" ht="17.25" customHeight="1">
      <c r="A43" s="121"/>
      <c r="B43" s="86"/>
      <c r="C43" s="194"/>
      <c r="D43" s="46"/>
      <c r="E43" s="46"/>
      <c r="F43" s="46"/>
      <c r="G43" s="46"/>
      <c r="H43" s="47"/>
      <c r="I43" s="195" t="b">
        <v>0</v>
      </c>
      <c r="J43" s="196"/>
      <c r="K43" s="46"/>
      <c r="L43" s="46"/>
      <c r="M43" s="46"/>
      <c r="N43" s="46"/>
      <c r="O43" s="47"/>
      <c r="P43" s="197" t="b">
        <v>0</v>
      </c>
      <c r="Q43" s="198"/>
      <c r="R43" s="46"/>
      <c r="S43" s="46"/>
      <c r="T43" s="46"/>
      <c r="U43" s="46"/>
      <c r="V43" s="47"/>
      <c r="W43" s="199" t="b">
        <v>0</v>
      </c>
      <c r="X43" s="200"/>
      <c r="Y43" s="46"/>
      <c r="Z43" s="46"/>
      <c r="AA43" s="46"/>
      <c r="AB43" s="46"/>
      <c r="AC43" s="47"/>
      <c r="AD43" s="201" t="b">
        <v>0</v>
      </c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</row>
    <row r="44" ht="17.25" customHeight="1">
      <c r="A44" s="121"/>
      <c r="B44" s="121"/>
      <c r="C44" s="194"/>
      <c r="D44" s="46"/>
      <c r="E44" s="46"/>
      <c r="F44" s="46"/>
      <c r="G44" s="46"/>
      <c r="H44" s="47"/>
      <c r="I44" s="195" t="b">
        <v>0</v>
      </c>
      <c r="J44" s="196"/>
      <c r="K44" s="46"/>
      <c r="L44" s="46"/>
      <c r="M44" s="46"/>
      <c r="N44" s="46"/>
      <c r="O44" s="47"/>
      <c r="P44" s="197" t="b">
        <v>0</v>
      </c>
      <c r="Q44" s="198"/>
      <c r="R44" s="46"/>
      <c r="S44" s="46"/>
      <c r="T44" s="46"/>
      <c r="U44" s="46"/>
      <c r="V44" s="47"/>
      <c r="W44" s="199" t="b">
        <v>0</v>
      </c>
      <c r="X44" s="200"/>
      <c r="Y44" s="46"/>
      <c r="Z44" s="46"/>
      <c r="AA44" s="46"/>
      <c r="AB44" s="46"/>
      <c r="AC44" s="47"/>
      <c r="AD44" s="201" t="b">
        <v>0</v>
      </c>
      <c r="AE44" s="121"/>
      <c r="AF44" s="121"/>
      <c r="AG44" s="202" t="s">
        <v>59</v>
      </c>
      <c r="AH44" s="121"/>
      <c r="AI44" s="121"/>
      <c r="AJ44" s="121"/>
      <c r="AK44" s="121"/>
      <c r="AL44" s="121"/>
      <c r="AM44" s="121"/>
      <c r="AN44" s="121"/>
    </row>
    <row r="45" ht="17.25" customHeight="1">
      <c r="A45" s="121"/>
      <c r="B45" s="121"/>
      <c r="C45" s="194"/>
      <c r="D45" s="46"/>
      <c r="E45" s="46"/>
      <c r="F45" s="46"/>
      <c r="G45" s="46"/>
      <c r="H45" s="47"/>
      <c r="I45" s="195" t="b">
        <v>0</v>
      </c>
      <c r="J45" s="196"/>
      <c r="K45" s="46"/>
      <c r="L45" s="46"/>
      <c r="M45" s="46"/>
      <c r="N45" s="46"/>
      <c r="O45" s="47"/>
      <c r="P45" s="197" t="b">
        <v>0</v>
      </c>
      <c r="Q45" s="198"/>
      <c r="R45" s="46"/>
      <c r="S45" s="46"/>
      <c r="T45" s="46"/>
      <c r="U45" s="46"/>
      <c r="V45" s="47"/>
      <c r="W45" s="199" t="b">
        <v>0</v>
      </c>
      <c r="X45" s="200"/>
      <c r="Y45" s="46"/>
      <c r="Z45" s="46"/>
      <c r="AA45" s="46"/>
      <c r="AB45" s="46"/>
      <c r="AC45" s="47"/>
      <c r="AD45" s="201" t="b">
        <v>0</v>
      </c>
      <c r="AE45" s="121"/>
      <c r="AF45" s="121"/>
      <c r="AG45" s="203">
        <v>5.0</v>
      </c>
      <c r="AH45" s="120"/>
      <c r="AI45" s="120"/>
      <c r="AJ45" s="120"/>
      <c r="AK45" s="120"/>
      <c r="AL45" s="120"/>
      <c r="AM45" s="120"/>
      <c r="AN45" s="120"/>
    </row>
    <row r="46" ht="17.25" customHeight="1">
      <c r="A46" s="121"/>
      <c r="B46" s="121"/>
      <c r="C46" s="194"/>
      <c r="D46" s="46"/>
      <c r="E46" s="46"/>
      <c r="F46" s="46"/>
      <c r="G46" s="46"/>
      <c r="H46" s="47"/>
      <c r="I46" s="195" t="b">
        <v>0</v>
      </c>
      <c r="J46" s="196"/>
      <c r="K46" s="46"/>
      <c r="L46" s="46"/>
      <c r="M46" s="46"/>
      <c r="N46" s="46"/>
      <c r="O46" s="47"/>
      <c r="P46" s="197" t="b">
        <v>0</v>
      </c>
      <c r="Q46" s="198"/>
      <c r="R46" s="46"/>
      <c r="S46" s="46"/>
      <c r="T46" s="46"/>
      <c r="U46" s="46"/>
      <c r="V46" s="47"/>
      <c r="W46" s="199" t="b">
        <v>0</v>
      </c>
      <c r="X46" s="200"/>
      <c r="Y46" s="46"/>
      <c r="Z46" s="46"/>
      <c r="AA46" s="46"/>
      <c r="AB46" s="46"/>
      <c r="AC46" s="47"/>
      <c r="AD46" s="201" t="b">
        <v>0</v>
      </c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</row>
    <row r="47" ht="17.25" customHeight="1">
      <c r="A47" s="121"/>
      <c r="B47" s="121"/>
      <c r="C47" s="194"/>
      <c r="D47" s="46"/>
      <c r="E47" s="46"/>
      <c r="F47" s="46"/>
      <c r="G47" s="46"/>
      <c r="H47" s="47"/>
      <c r="I47" s="195" t="b">
        <v>0</v>
      </c>
      <c r="J47" s="196"/>
      <c r="K47" s="46"/>
      <c r="L47" s="46"/>
      <c r="M47" s="46"/>
      <c r="N47" s="46"/>
      <c r="O47" s="47"/>
      <c r="P47" s="197" t="b">
        <v>0</v>
      </c>
      <c r="Q47" s="198"/>
      <c r="R47" s="46"/>
      <c r="S47" s="46"/>
      <c r="T47" s="46"/>
      <c r="U47" s="46"/>
      <c r="V47" s="47"/>
      <c r="W47" s="199" t="b">
        <v>0</v>
      </c>
      <c r="X47" s="200"/>
      <c r="Y47" s="46"/>
      <c r="Z47" s="46"/>
      <c r="AA47" s="46"/>
      <c r="AB47" s="46"/>
      <c r="AC47" s="47"/>
      <c r="AD47" s="201" t="b">
        <v>0</v>
      </c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</row>
    <row r="48" ht="17.25" customHeight="1">
      <c r="A48" s="121"/>
      <c r="B48" s="121"/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</row>
    <row r="49" ht="17.25" customHeight="1">
      <c r="A49" s="121"/>
      <c r="B49" s="136" t="s">
        <v>60</v>
      </c>
      <c r="C49" s="204"/>
      <c r="D49" s="50"/>
      <c r="E49" s="50"/>
      <c r="F49" s="50"/>
      <c r="G49" s="50"/>
      <c r="H49" s="50"/>
      <c r="I49" s="51"/>
      <c r="J49" s="204"/>
      <c r="K49" s="50"/>
      <c r="L49" s="50"/>
      <c r="M49" s="50"/>
      <c r="N49" s="50"/>
      <c r="O49" s="50"/>
      <c r="P49" s="51"/>
      <c r="Q49" s="204"/>
      <c r="R49" s="50"/>
      <c r="S49" s="50"/>
      <c r="T49" s="50"/>
      <c r="U49" s="50"/>
      <c r="V49" s="50"/>
      <c r="W49" s="51"/>
      <c r="X49" s="204"/>
      <c r="Y49" s="50"/>
      <c r="Z49" s="50"/>
      <c r="AA49" s="50"/>
      <c r="AB49" s="50"/>
      <c r="AC49" s="50"/>
      <c r="AD49" s="5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</row>
    <row r="50" ht="17.25" customHeight="1">
      <c r="A50" s="121"/>
      <c r="B50" s="205"/>
      <c r="C50" s="206"/>
      <c r="D50" s="55"/>
      <c r="E50" s="55"/>
      <c r="F50" s="55"/>
      <c r="G50" s="55"/>
      <c r="H50" s="55"/>
      <c r="I50" s="56"/>
      <c r="J50" s="206"/>
      <c r="K50" s="55"/>
      <c r="L50" s="55"/>
      <c r="M50" s="55"/>
      <c r="N50" s="55"/>
      <c r="O50" s="55"/>
      <c r="P50" s="56"/>
      <c r="Q50" s="206"/>
      <c r="R50" s="55"/>
      <c r="S50" s="55"/>
      <c r="T50" s="55"/>
      <c r="U50" s="55"/>
      <c r="V50" s="55"/>
      <c r="W50" s="56"/>
      <c r="X50" s="206"/>
      <c r="Y50" s="55"/>
      <c r="Z50" s="55"/>
      <c r="AA50" s="55"/>
      <c r="AB50" s="55"/>
      <c r="AC50" s="55"/>
      <c r="AD50" s="56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</row>
    <row r="51" ht="17.25" customHeight="1">
      <c r="A51" s="121"/>
      <c r="B51" s="86"/>
      <c r="C51" s="207"/>
      <c r="D51" s="60"/>
      <c r="E51" s="60"/>
      <c r="F51" s="60"/>
      <c r="G51" s="60"/>
      <c r="H51" s="60"/>
      <c r="I51" s="61"/>
      <c r="J51" s="207"/>
      <c r="K51" s="60"/>
      <c r="L51" s="60"/>
      <c r="M51" s="60"/>
      <c r="N51" s="60"/>
      <c r="O51" s="60"/>
      <c r="P51" s="61"/>
      <c r="Q51" s="207"/>
      <c r="R51" s="60"/>
      <c r="S51" s="60"/>
      <c r="T51" s="60"/>
      <c r="U51" s="60"/>
      <c r="V51" s="60"/>
      <c r="W51" s="61"/>
      <c r="X51" s="207"/>
      <c r="Y51" s="60"/>
      <c r="Z51" s="60"/>
      <c r="AA51" s="60"/>
      <c r="AB51" s="60"/>
      <c r="AC51" s="60"/>
      <c r="AD51" s="6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</row>
    <row r="52" ht="17.25" customHeight="1">
      <c r="A52" s="121"/>
      <c r="B52" s="121"/>
      <c r="C52" s="208"/>
      <c r="I52" s="170"/>
      <c r="J52" s="208"/>
      <c r="P52" s="170"/>
      <c r="Q52" s="208"/>
      <c r="W52" s="170"/>
      <c r="X52" s="208"/>
      <c r="AD52" s="170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</row>
    <row r="53" ht="17.25" customHeight="1">
      <c r="A53" s="121"/>
      <c r="B53" s="121"/>
      <c r="C53" s="121"/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</row>
    <row r="54" ht="17.25" customHeight="1">
      <c r="A54" s="121"/>
      <c r="B54" s="62" t="s">
        <v>61</v>
      </c>
      <c r="C54" s="209" t="s">
        <v>62</v>
      </c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7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</row>
    <row r="55" ht="17.25" customHeight="1">
      <c r="A55" s="121"/>
      <c r="B55" s="43"/>
      <c r="C55" s="210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7"/>
      <c r="P55" s="211" t="b">
        <v>0</v>
      </c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</row>
    <row r="56" ht="17.25" customHeight="1">
      <c r="A56" s="121"/>
      <c r="B56" s="212"/>
      <c r="C56" s="210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7"/>
      <c r="P56" s="211" t="b">
        <v>0</v>
      </c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</row>
    <row r="57" ht="17.25" customHeight="1">
      <c r="A57" s="121"/>
      <c r="B57" s="212"/>
      <c r="C57" s="210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7"/>
      <c r="P57" s="211" t="b">
        <v>0</v>
      </c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</row>
    <row r="58" ht="17.25" customHeight="1">
      <c r="A58" s="121"/>
      <c r="B58" s="212"/>
      <c r="C58" s="210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7"/>
      <c r="P58" s="211" t="b">
        <v>0</v>
      </c>
      <c r="Q58" s="121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  <c r="AL58" s="121"/>
      <c r="AM58" s="121"/>
      <c r="AN58" s="121"/>
    </row>
    <row r="59" ht="17.25" customHeight="1">
      <c r="A59" s="121"/>
      <c r="B59" s="212"/>
      <c r="C59" s="210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7"/>
      <c r="P59" s="211" t="b">
        <v>0</v>
      </c>
      <c r="Q59" s="121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1"/>
      <c r="AM59" s="121"/>
      <c r="AN59" s="121"/>
    </row>
    <row r="60" ht="17.25" customHeight="1">
      <c r="A60" s="121"/>
      <c r="B60" s="121"/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  <c r="AE60" s="121"/>
      <c r="AF60" s="121"/>
      <c r="AG60" s="121"/>
      <c r="AH60" s="121"/>
      <c r="AI60" s="121"/>
      <c r="AJ60" s="121"/>
      <c r="AK60" s="121"/>
      <c r="AL60" s="121"/>
      <c r="AM60" s="121"/>
      <c r="AN60" s="121"/>
    </row>
    <row r="61" ht="17.25" hidden="1" customHeight="1">
      <c r="A61" s="121"/>
      <c r="B61" s="121"/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1"/>
      <c r="AL61" s="121"/>
      <c r="AM61" s="121"/>
      <c r="AN61" s="121"/>
    </row>
    <row r="62" ht="17.25" hidden="1" customHeight="1">
      <c r="A62" s="121"/>
      <c r="B62" s="213">
        <f>COUNTIF($I$43:$I$47, true)</f>
        <v>0</v>
      </c>
      <c r="C62" s="214" t="str">
        <f t="array" ref="C62:H66">$C$43:$H$47</f>
        <v/>
      </c>
      <c r="D62" s="214"/>
      <c r="E62" s="214"/>
      <c r="F62" s="214"/>
      <c r="G62" s="214"/>
      <c r="H62" s="214"/>
      <c r="I62" s="213">
        <f t="array" ref="I62">COUNTA(UNIQUE($C$62:$C$140))</f>
        <v>0</v>
      </c>
      <c r="J62" s="215">
        <f>sum($B$62,$B$78,$B$110,$B$126)</f>
        <v>0</v>
      </c>
      <c r="K62" s="213">
        <f>sum(COUNTA($I$43:$I$47),COUNTA($P$43:$P$47),COUNTA($W$43:$W$47),COUNTA($AD$43:$AD$47),COUNTA($P$55:$P$59))</f>
        <v>25</v>
      </c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121"/>
      <c r="AK62" s="121"/>
      <c r="AL62" s="121"/>
      <c r="AM62" s="121"/>
      <c r="AN62" s="121"/>
    </row>
    <row r="63" ht="17.25" hidden="1" customHeight="1">
      <c r="A63" s="121"/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 s="121"/>
      <c r="AH63" s="121"/>
      <c r="AI63" s="121"/>
      <c r="AJ63" s="121"/>
      <c r="AK63" s="121"/>
      <c r="AL63" s="121"/>
      <c r="AM63" s="121"/>
      <c r="AN63" s="121"/>
    </row>
    <row r="64" ht="17.25" hidden="1" customHeight="1">
      <c r="A64" s="121"/>
      <c r="B64" s="214"/>
      <c r="C64" s="214"/>
      <c r="D64" s="214"/>
      <c r="E64" s="214"/>
      <c r="F64" s="214"/>
      <c r="G64" s="214"/>
      <c r="H64" s="214"/>
      <c r="I64" s="214"/>
      <c r="J64" s="214"/>
      <c r="K64" s="214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121"/>
      <c r="AK64" s="121"/>
      <c r="AL64" s="121"/>
      <c r="AM64" s="121"/>
      <c r="AN64" s="121"/>
    </row>
    <row r="65" ht="17.25" hidden="1" customHeight="1">
      <c r="A65" s="121"/>
      <c r="B65" s="214"/>
      <c r="C65" s="214"/>
      <c r="D65" s="214"/>
      <c r="E65" s="214"/>
      <c r="F65" s="214"/>
      <c r="G65" s="214"/>
      <c r="H65" s="214"/>
      <c r="I65" s="214"/>
      <c r="J65" s="214"/>
      <c r="K65" s="214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1"/>
      <c r="AI65" s="121"/>
      <c r="AJ65" s="121"/>
      <c r="AK65" s="121"/>
      <c r="AL65" s="121"/>
      <c r="AM65" s="121"/>
      <c r="AN65" s="121"/>
    </row>
    <row r="66" ht="17.25" hidden="1" customHeight="1">
      <c r="A66" s="121"/>
      <c r="B66" s="214"/>
      <c r="C66" s="214"/>
      <c r="D66" s="214"/>
      <c r="E66" s="214"/>
      <c r="F66" s="214"/>
      <c r="G66" s="214"/>
      <c r="H66" s="214"/>
      <c r="I66" s="214"/>
      <c r="J66" s="214"/>
      <c r="K66" s="214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  <c r="AA66" s="121"/>
      <c r="AB66" s="121"/>
      <c r="AC66" s="121"/>
      <c r="AD66" s="121"/>
      <c r="AE66" s="121"/>
      <c r="AF66" s="121"/>
      <c r="AG66" s="121"/>
      <c r="AH66" s="121"/>
      <c r="AI66" s="121"/>
      <c r="AJ66" s="121"/>
      <c r="AK66" s="121"/>
      <c r="AL66" s="121"/>
      <c r="AM66" s="121"/>
      <c r="AN66" s="121"/>
    </row>
    <row r="67" ht="17.25" hidden="1" customHeight="1">
      <c r="A67" s="121"/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1"/>
      <c r="AJ67" s="121"/>
      <c r="AK67" s="121"/>
      <c r="AL67" s="121"/>
      <c r="AM67" s="121"/>
      <c r="AN67" s="121"/>
    </row>
    <row r="68" ht="17.25" hidden="1" customHeight="1">
      <c r="A68" s="121"/>
      <c r="B68" s="214"/>
      <c r="C68" s="214"/>
      <c r="D68" s="214"/>
      <c r="E68" s="214"/>
      <c r="F68" s="214"/>
      <c r="G68" s="214"/>
      <c r="H68" s="214"/>
      <c r="I68" s="214"/>
      <c r="J68" s="214"/>
      <c r="K68" s="214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  <c r="AA68" s="121"/>
      <c r="AB68" s="121"/>
      <c r="AC68" s="121"/>
      <c r="AD68" s="121"/>
      <c r="AE68" s="121"/>
      <c r="AF68" s="121"/>
      <c r="AG68" s="121"/>
      <c r="AH68" s="121"/>
      <c r="AI68" s="121"/>
      <c r="AJ68" s="121"/>
      <c r="AK68" s="121"/>
      <c r="AL68" s="121"/>
      <c r="AM68" s="121"/>
      <c r="AN68" s="121"/>
    </row>
    <row r="69" ht="17.25" hidden="1" customHeight="1">
      <c r="A69" s="121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  <c r="AC69" s="121"/>
      <c r="AD69" s="121"/>
      <c r="AE69" s="121"/>
      <c r="AF69" s="121"/>
      <c r="AG69" s="121"/>
      <c r="AH69" s="121"/>
      <c r="AI69" s="121"/>
      <c r="AJ69" s="121"/>
      <c r="AK69" s="121"/>
      <c r="AL69" s="121"/>
      <c r="AM69" s="121"/>
      <c r="AN69" s="121"/>
    </row>
    <row r="70" ht="17.25" hidden="1" customHeight="1">
      <c r="A70" s="121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  <c r="AC70" s="121"/>
      <c r="AD70" s="121"/>
      <c r="AE70" s="121"/>
      <c r="AF70" s="121"/>
      <c r="AG70" s="121"/>
      <c r="AH70" s="121"/>
      <c r="AI70" s="121"/>
      <c r="AJ70" s="121"/>
      <c r="AK70" s="121"/>
      <c r="AL70" s="121"/>
      <c r="AM70" s="121"/>
      <c r="AN70" s="121"/>
    </row>
    <row r="71" ht="17.25" hidden="1" customHeight="1">
      <c r="A71" s="121"/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  <c r="AD71" s="121"/>
      <c r="AE71" s="121"/>
      <c r="AF71" s="121"/>
      <c r="AG71" s="121"/>
      <c r="AH71" s="121"/>
      <c r="AI71" s="121"/>
      <c r="AJ71" s="121"/>
      <c r="AK71" s="121"/>
      <c r="AL71" s="121"/>
      <c r="AM71" s="121"/>
      <c r="AN71" s="121"/>
    </row>
    <row r="72" ht="17.25" hidden="1" customHeight="1">
      <c r="A72" s="121"/>
      <c r="B72" s="214"/>
      <c r="C72" s="214"/>
      <c r="D72" s="214"/>
      <c r="E72" s="214"/>
      <c r="F72" s="214"/>
      <c r="G72" s="214"/>
      <c r="H72" s="214"/>
      <c r="I72" s="214"/>
      <c r="J72" s="214"/>
      <c r="K72" s="214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  <c r="AD72" s="121"/>
      <c r="AE72" s="121"/>
      <c r="AF72" s="121"/>
      <c r="AG72" s="121"/>
      <c r="AH72" s="121"/>
      <c r="AI72" s="121"/>
      <c r="AJ72" s="121"/>
      <c r="AK72" s="121"/>
      <c r="AL72" s="121"/>
      <c r="AM72" s="121"/>
      <c r="AN72" s="121"/>
    </row>
    <row r="73" ht="17.25" hidden="1" customHeight="1">
      <c r="A73" s="121"/>
      <c r="B73" s="214"/>
      <c r="C73" s="214"/>
      <c r="D73" s="214"/>
      <c r="E73" s="214"/>
      <c r="F73" s="214"/>
      <c r="G73" s="214"/>
      <c r="H73" s="214"/>
      <c r="I73" s="214"/>
      <c r="J73" s="214"/>
      <c r="K73" s="214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  <c r="AA73" s="121"/>
      <c r="AB73" s="121"/>
      <c r="AC73" s="121"/>
      <c r="AD73" s="121"/>
      <c r="AE73" s="121"/>
      <c r="AF73" s="121"/>
      <c r="AG73" s="121"/>
      <c r="AH73" s="121"/>
      <c r="AI73" s="121"/>
      <c r="AJ73" s="121"/>
      <c r="AK73" s="121"/>
      <c r="AL73" s="121"/>
      <c r="AM73" s="121"/>
      <c r="AN73" s="121"/>
    </row>
    <row r="74" ht="17.25" hidden="1" customHeight="1">
      <c r="A74" s="121"/>
      <c r="B74" s="214"/>
      <c r="C74" s="214"/>
      <c r="D74" s="214"/>
      <c r="E74" s="214"/>
      <c r="F74" s="214"/>
      <c r="G74" s="214"/>
      <c r="H74" s="214"/>
      <c r="I74" s="214"/>
      <c r="J74" s="214"/>
      <c r="K74" s="214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  <c r="AD74" s="121"/>
      <c r="AE74" s="121"/>
      <c r="AF74" s="121"/>
      <c r="AG74" s="121"/>
      <c r="AH74" s="121"/>
      <c r="AI74" s="121"/>
      <c r="AJ74" s="121"/>
      <c r="AK74" s="121"/>
      <c r="AL74" s="121"/>
      <c r="AM74" s="121"/>
      <c r="AN74" s="121"/>
    </row>
    <row r="75" ht="17.25" hidden="1" customHeight="1">
      <c r="A75" s="121"/>
      <c r="B75" s="214"/>
      <c r="C75" s="214"/>
      <c r="D75" s="214"/>
      <c r="E75" s="214"/>
      <c r="F75" s="214"/>
      <c r="G75" s="214"/>
      <c r="H75" s="214"/>
      <c r="I75" s="214"/>
      <c r="J75" s="214"/>
      <c r="K75" s="214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  <c r="AD75" s="121"/>
      <c r="AE75" s="121"/>
      <c r="AF75" s="121"/>
      <c r="AG75" s="121"/>
      <c r="AH75" s="121"/>
      <c r="AI75" s="121"/>
      <c r="AJ75" s="121"/>
      <c r="AK75" s="121"/>
      <c r="AL75" s="121"/>
      <c r="AM75" s="121"/>
      <c r="AN75" s="121"/>
    </row>
    <row r="76" ht="17.25" hidden="1" customHeight="1">
      <c r="A76" s="121"/>
      <c r="B76" s="214"/>
      <c r="C76" s="214"/>
      <c r="D76" s="214"/>
      <c r="E76" s="214"/>
      <c r="F76" s="214"/>
      <c r="G76" s="214"/>
      <c r="H76" s="214"/>
      <c r="I76" s="214"/>
      <c r="J76" s="214"/>
      <c r="K76" s="214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  <c r="AC76" s="121"/>
      <c r="AD76" s="121"/>
      <c r="AE76" s="121"/>
      <c r="AF76" s="121"/>
      <c r="AG76" s="121"/>
      <c r="AH76" s="121"/>
      <c r="AI76" s="121"/>
      <c r="AJ76" s="121"/>
      <c r="AK76" s="121"/>
      <c r="AL76" s="121"/>
      <c r="AM76" s="121"/>
      <c r="AN76" s="121"/>
    </row>
    <row r="77" ht="17.25" hidden="1" customHeight="1">
      <c r="A77" s="121"/>
      <c r="B77" s="214"/>
      <c r="C77" s="214"/>
      <c r="D77" s="214"/>
      <c r="E77" s="214"/>
      <c r="F77" s="214"/>
      <c r="G77" s="214"/>
      <c r="H77" s="214"/>
      <c r="I77" s="214"/>
      <c r="J77" s="214"/>
      <c r="K77" s="214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  <c r="AD77" s="121"/>
      <c r="AE77" s="121"/>
      <c r="AF77" s="121"/>
      <c r="AG77" s="121"/>
      <c r="AH77" s="121"/>
      <c r="AI77" s="121"/>
      <c r="AJ77" s="121"/>
      <c r="AK77" s="121"/>
      <c r="AL77" s="121"/>
      <c r="AM77" s="121"/>
      <c r="AN77" s="121"/>
    </row>
    <row r="78" ht="17.25" hidden="1" customHeight="1">
      <c r="A78" s="121"/>
      <c r="B78" s="213">
        <f>COUNTIF($P$43:$P$47, true)</f>
        <v>0</v>
      </c>
      <c r="C78" s="214" t="str">
        <f t="array" ref="C78:H82">$J$43:$O$47</f>
        <v/>
      </c>
      <c r="D78" s="214"/>
      <c r="E78" s="214"/>
      <c r="F78" s="214"/>
      <c r="G78" s="214"/>
      <c r="H78" s="214"/>
      <c r="I78" s="214"/>
      <c r="J78" s="214"/>
      <c r="K78" s="214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  <c r="AD78" s="121"/>
      <c r="AE78" s="121"/>
      <c r="AF78" s="121"/>
      <c r="AG78" s="121"/>
      <c r="AH78" s="121"/>
      <c r="AI78" s="121"/>
      <c r="AJ78" s="121"/>
      <c r="AK78" s="121"/>
      <c r="AL78" s="121"/>
      <c r="AM78" s="121"/>
      <c r="AN78" s="121"/>
    </row>
    <row r="79" ht="17.25" hidden="1" customHeight="1">
      <c r="A79" s="121"/>
      <c r="B79" s="214"/>
      <c r="C79" s="214"/>
      <c r="D79" s="214"/>
      <c r="E79" s="214"/>
      <c r="F79" s="214"/>
      <c r="G79" s="214"/>
      <c r="H79" s="214"/>
      <c r="I79" s="214"/>
      <c r="J79" s="214"/>
      <c r="K79" s="214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  <c r="AC79" s="121"/>
      <c r="AD79" s="121"/>
      <c r="AE79" s="121"/>
      <c r="AF79" s="121"/>
      <c r="AG79" s="121"/>
      <c r="AH79" s="121"/>
      <c r="AI79" s="121"/>
      <c r="AJ79" s="121"/>
      <c r="AK79" s="121"/>
      <c r="AL79" s="121"/>
      <c r="AM79" s="121"/>
      <c r="AN79" s="121"/>
    </row>
    <row r="80" ht="17.25" hidden="1" customHeight="1">
      <c r="A80" s="121"/>
      <c r="B80" s="214"/>
      <c r="C80" s="214"/>
      <c r="D80" s="214"/>
      <c r="E80" s="214"/>
      <c r="F80" s="214"/>
      <c r="G80" s="214"/>
      <c r="H80" s="214"/>
      <c r="I80" s="214"/>
      <c r="J80" s="214"/>
      <c r="K80" s="214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  <c r="AA80" s="121"/>
      <c r="AB80" s="121"/>
      <c r="AC80" s="121"/>
      <c r="AD80" s="121"/>
      <c r="AE80" s="121"/>
      <c r="AF80" s="121"/>
      <c r="AG80" s="121"/>
      <c r="AH80" s="121"/>
      <c r="AI80" s="121"/>
      <c r="AJ80" s="121"/>
      <c r="AK80" s="121"/>
      <c r="AL80" s="121"/>
      <c r="AM80" s="121"/>
      <c r="AN80" s="121"/>
    </row>
    <row r="81" ht="17.25" hidden="1" customHeight="1">
      <c r="A81" s="121"/>
      <c r="B81" s="214"/>
      <c r="C81" s="214"/>
      <c r="D81" s="214"/>
      <c r="E81" s="214"/>
      <c r="F81" s="214"/>
      <c r="G81" s="214"/>
      <c r="H81" s="214"/>
      <c r="I81" s="214"/>
      <c r="J81" s="214"/>
      <c r="K81" s="214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1"/>
      <c r="AG81" s="121"/>
      <c r="AH81" s="121"/>
      <c r="AI81" s="121"/>
      <c r="AJ81" s="121"/>
      <c r="AK81" s="121"/>
      <c r="AL81" s="121"/>
      <c r="AM81" s="121"/>
      <c r="AN81" s="121"/>
    </row>
    <row r="82" ht="17.25" hidden="1" customHeight="1">
      <c r="A82" s="121"/>
      <c r="B82" s="214"/>
      <c r="C82" s="214"/>
      <c r="D82" s="214"/>
      <c r="E82" s="214"/>
      <c r="F82" s="214"/>
      <c r="G82" s="214"/>
      <c r="H82" s="214"/>
      <c r="I82" s="214"/>
      <c r="J82" s="214"/>
      <c r="K82" s="214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</row>
    <row r="83" ht="17.25" hidden="1" customHeight="1">
      <c r="A83" s="121"/>
      <c r="B83" s="214"/>
      <c r="C83" s="214"/>
      <c r="D83" s="214"/>
      <c r="E83" s="214"/>
      <c r="F83" s="214"/>
      <c r="G83" s="214"/>
      <c r="H83" s="214"/>
      <c r="I83" s="214"/>
      <c r="J83" s="214"/>
      <c r="K83" s="214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</row>
    <row r="84" ht="17.25" hidden="1" customHeight="1">
      <c r="A84" s="121"/>
      <c r="B84" s="214"/>
      <c r="C84" s="214"/>
      <c r="D84" s="214"/>
      <c r="E84" s="214"/>
      <c r="F84" s="214"/>
      <c r="G84" s="214"/>
      <c r="H84" s="214"/>
      <c r="I84" s="214"/>
      <c r="J84" s="214"/>
      <c r="K84" s="214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1"/>
      <c r="AE84" s="121"/>
      <c r="AF84" s="121"/>
      <c r="AG84" s="121"/>
      <c r="AH84" s="121"/>
      <c r="AI84" s="121"/>
      <c r="AJ84" s="121"/>
      <c r="AK84" s="121"/>
      <c r="AL84" s="121"/>
      <c r="AM84" s="121"/>
      <c r="AN84" s="121"/>
    </row>
    <row r="85" ht="17.25" hidden="1" customHeight="1">
      <c r="A85" s="121"/>
      <c r="B85" s="214"/>
      <c r="C85" s="214"/>
      <c r="D85" s="214"/>
      <c r="E85" s="214"/>
      <c r="F85" s="214"/>
      <c r="G85" s="214"/>
      <c r="H85" s="214"/>
      <c r="I85" s="214"/>
      <c r="J85" s="214"/>
      <c r="K85" s="214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1"/>
      <c r="AL85" s="121"/>
      <c r="AM85" s="121"/>
      <c r="AN85" s="121"/>
    </row>
    <row r="86" ht="17.25" hidden="1" customHeight="1">
      <c r="A86" s="121"/>
      <c r="B86" s="214"/>
      <c r="C86" s="214"/>
      <c r="D86" s="214"/>
      <c r="E86" s="214"/>
      <c r="F86" s="214"/>
      <c r="G86" s="214"/>
      <c r="H86" s="214"/>
      <c r="I86" s="214"/>
      <c r="J86" s="214"/>
      <c r="K86" s="214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</row>
    <row r="87" ht="17.25" hidden="1" customHeight="1">
      <c r="A87" s="121"/>
      <c r="B87" s="214"/>
      <c r="C87" s="214"/>
      <c r="D87" s="214"/>
      <c r="E87" s="214"/>
      <c r="F87" s="214"/>
      <c r="G87" s="214"/>
      <c r="H87" s="214"/>
      <c r="I87" s="214"/>
      <c r="J87" s="214"/>
      <c r="K87" s="214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</row>
    <row r="88" ht="17.25" hidden="1" customHeight="1">
      <c r="A88" s="121"/>
      <c r="B88" s="214"/>
      <c r="C88" s="214"/>
      <c r="D88" s="214"/>
      <c r="E88" s="214"/>
      <c r="F88" s="214"/>
      <c r="G88" s="214"/>
      <c r="H88" s="214"/>
      <c r="I88" s="214"/>
      <c r="J88" s="214"/>
      <c r="K88" s="214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</row>
    <row r="89" ht="17.25" hidden="1" customHeight="1">
      <c r="A89" s="121"/>
      <c r="B89" s="214"/>
      <c r="C89" s="214"/>
      <c r="D89" s="214"/>
      <c r="E89" s="214"/>
      <c r="F89" s="214"/>
      <c r="G89" s="214"/>
      <c r="H89" s="214"/>
      <c r="I89" s="214"/>
      <c r="J89" s="214"/>
      <c r="K89" s="214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</row>
    <row r="90" ht="17.25" hidden="1" customHeight="1">
      <c r="A90" s="121"/>
      <c r="B90" s="214"/>
      <c r="C90" s="214"/>
      <c r="D90" s="214"/>
      <c r="E90" s="214"/>
      <c r="F90" s="214"/>
      <c r="G90" s="214"/>
      <c r="H90" s="214"/>
      <c r="I90" s="214"/>
      <c r="J90" s="214"/>
      <c r="K90" s="214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</row>
    <row r="91" ht="17.25" hidden="1" customHeight="1">
      <c r="A91" s="121"/>
      <c r="B91" s="214"/>
      <c r="C91" s="214"/>
      <c r="D91" s="214"/>
      <c r="E91" s="214"/>
      <c r="F91" s="214"/>
      <c r="G91" s="214"/>
      <c r="H91" s="214"/>
      <c r="I91" s="214"/>
      <c r="J91" s="214"/>
      <c r="K91" s="214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</row>
    <row r="92" ht="17.25" hidden="1" customHeight="1">
      <c r="A92" s="121"/>
      <c r="B92" s="214"/>
      <c r="C92" s="214"/>
      <c r="D92" s="214"/>
      <c r="E92" s="214"/>
      <c r="F92" s="214"/>
      <c r="G92" s="214"/>
      <c r="H92" s="214"/>
      <c r="I92" s="214"/>
      <c r="J92" s="214"/>
      <c r="K92" s="214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</row>
    <row r="93" ht="17.25" hidden="1" customHeight="1">
      <c r="A93" s="121"/>
      <c r="B93" s="214"/>
      <c r="C93" s="214"/>
      <c r="D93" s="214"/>
      <c r="E93" s="214"/>
      <c r="F93" s="214"/>
      <c r="G93" s="214"/>
      <c r="H93" s="214"/>
      <c r="I93" s="214"/>
      <c r="J93" s="214"/>
      <c r="K93" s="214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</row>
    <row r="94" ht="17.25" hidden="1" customHeight="1">
      <c r="A94" s="121"/>
      <c r="B94" s="213">
        <f>COUNTIF($W$43:$W$47, true)</f>
        <v>0</v>
      </c>
      <c r="C94" s="214" t="str">
        <f t="array" ref="C94:H98">$Q$43:$V$47</f>
        <v/>
      </c>
      <c r="D94" s="214"/>
      <c r="E94" s="214"/>
      <c r="F94" s="214"/>
      <c r="G94" s="214"/>
      <c r="H94" s="214"/>
      <c r="I94" s="214"/>
      <c r="J94" s="214"/>
      <c r="K94" s="214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</row>
    <row r="95" ht="17.25" hidden="1" customHeight="1">
      <c r="A95" s="121"/>
      <c r="B95" s="214"/>
      <c r="C95" s="214"/>
      <c r="D95" s="214"/>
      <c r="E95" s="214"/>
      <c r="F95" s="214"/>
      <c r="G95" s="214"/>
      <c r="H95" s="214"/>
      <c r="I95" s="214"/>
      <c r="J95" s="214"/>
      <c r="K95" s="214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</row>
    <row r="96" ht="17.25" hidden="1" customHeight="1">
      <c r="A96" s="121"/>
      <c r="B96" s="214"/>
      <c r="C96" s="214"/>
      <c r="D96" s="214"/>
      <c r="E96" s="214"/>
      <c r="F96" s="214"/>
      <c r="G96" s="214"/>
      <c r="H96" s="214"/>
      <c r="I96" s="214"/>
      <c r="J96" s="214"/>
      <c r="K96" s="214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1"/>
      <c r="AH96" s="121"/>
      <c r="AI96" s="121"/>
      <c r="AJ96" s="121"/>
      <c r="AK96" s="121"/>
      <c r="AL96" s="121"/>
      <c r="AM96" s="121"/>
      <c r="AN96" s="121"/>
    </row>
    <row r="97" ht="17.25" hidden="1" customHeight="1">
      <c r="A97" s="121"/>
      <c r="B97" s="214"/>
      <c r="C97" s="214"/>
      <c r="D97" s="214"/>
      <c r="E97" s="214"/>
      <c r="F97" s="214"/>
      <c r="G97" s="214"/>
      <c r="H97" s="214"/>
      <c r="I97" s="214"/>
      <c r="J97" s="214"/>
      <c r="K97" s="214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  <c r="AA97" s="121"/>
      <c r="AB97" s="121"/>
      <c r="AC97" s="121"/>
      <c r="AD97" s="121"/>
      <c r="AE97" s="121"/>
      <c r="AF97" s="121"/>
      <c r="AG97" s="121"/>
      <c r="AH97" s="121"/>
      <c r="AI97" s="121"/>
      <c r="AJ97" s="121"/>
      <c r="AK97" s="121"/>
      <c r="AL97" s="121"/>
      <c r="AM97" s="121"/>
      <c r="AN97" s="121"/>
    </row>
    <row r="98" ht="17.25" hidden="1" customHeight="1">
      <c r="A98" s="121"/>
      <c r="B98" s="214"/>
      <c r="C98" s="214"/>
      <c r="D98" s="214"/>
      <c r="E98" s="214"/>
      <c r="F98" s="214"/>
      <c r="G98" s="214"/>
      <c r="H98" s="214"/>
      <c r="I98" s="214"/>
      <c r="J98" s="214"/>
      <c r="K98" s="214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1"/>
      <c r="AH98" s="121"/>
      <c r="AI98" s="121"/>
      <c r="AJ98" s="121"/>
      <c r="AK98" s="121"/>
      <c r="AL98" s="121"/>
      <c r="AM98" s="121"/>
      <c r="AN98" s="121"/>
    </row>
    <row r="99" ht="17.25" hidden="1" customHeight="1">
      <c r="A99" s="121"/>
      <c r="B99" s="214"/>
      <c r="C99" s="214"/>
      <c r="D99" s="214"/>
      <c r="E99" s="214"/>
      <c r="F99" s="214"/>
      <c r="G99" s="214"/>
      <c r="H99" s="214"/>
      <c r="I99" s="214"/>
      <c r="J99" s="214"/>
      <c r="K99" s="214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  <c r="AA99" s="121"/>
      <c r="AB99" s="121"/>
      <c r="AC99" s="121"/>
      <c r="AD99" s="121"/>
      <c r="AE99" s="121"/>
      <c r="AF99" s="121"/>
      <c r="AG99" s="121"/>
      <c r="AH99" s="121"/>
      <c r="AI99" s="121"/>
      <c r="AJ99" s="121"/>
      <c r="AK99" s="121"/>
      <c r="AL99" s="121"/>
      <c r="AM99" s="121"/>
      <c r="AN99" s="121"/>
    </row>
    <row r="100" ht="17.25" hidden="1" customHeight="1">
      <c r="A100" s="121"/>
      <c r="B100" s="214"/>
      <c r="C100" s="214"/>
      <c r="D100" s="214"/>
      <c r="E100" s="214"/>
      <c r="F100" s="214"/>
      <c r="G100" s="214"/>
      <c r="H100" s="214"/>
      <c r="I100" s="214"/>
      <c r="J100" s="214"/>
      <c r="K100" s="214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  <c r="AA100" s="121"/>
      <c r="AB100" s="121"/>
      <c r="AC100" s="121"/>
      <c r="AD100" s="121"/>
      <c r="AE100" s="121"/>
      <c r="AF100" s="121"/>
      <c r="AG100" s="121"/>
      <c r="AH100" s="121"/>
      <c r="AI100" s="121"/>
      <c r="AJ100" s="121"/>
      <c r="AK100" s="121"/>
      <c r="AL100" s="121"/>
      <c r="AM100" s="121"/>
      <c r="AN100" s="121"/>
    </row>
    <row r="101" ht="17.25" hidden="1" customHeight="1">
      <c r="A101" s="121"/>
      <c r="B101" s="214"/>
      <c r="C101" s="214"/>
      <c r="D101" s="214"/>
      <c r="E101" s="214"/>
      <c r="F101" s="214"/>
      <c r="G101" s="214"/>
      <c r="H101" s="214"/>
      <c r="I101" s="214"/>
      <c r="J101" s="214"/>
      <c r="K101" s="214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  <c r="AA101" s="121"/>
      <c r="AB101" s="121"/>
      <c r="AC101" s="121"/>
      <c r="AD101" s="121"/>
      <c r="AE101" s="121"/>
      <c r="AF101" s="121"/>
      <c r="AG101" s="121"/>
      <c r="AH101" s="121"/>
      <c r="AI101" s="121"/>
      <c r="AJ101" s="121"/>
      <c r="AK101" s="121"/>
      <c r="AL101" s="121"/>
      <c r="AM101" s="121"/>
      <c r="AN101" s="121"/>
    </row>
    <row r="102" ht="17.25" hidden="1" customHeight="1">
      <c r="A102" s="121"/>
      <c r="B102" s="214"/>
      <c r="C102" s="214"/>
      <c r="D102" s="214"/>
      <c r="E102" s="214"/>
      <c r="F102" s="214"/>
      <c r="G102" s="214"/>
      <c r="H102" s="214"/>
      <c r="I102" s="214"/>
      <c r="J102" s="214"/>
      <c r="K102" s="214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  <c r="AA102" s="121"/>
      <c r="AB102" s="121"/>
      <c r="AC102" s="121"/>
      <c r="AD102" s="121"/>
      <c r="AE102" s="121"/>
      <c r="AF102" s="121"/>
      <c r="AG102" s="121"/>
      <c r="AH102" s="121"/>
      <c r="AI102" s="121"/>
      <c r="AJ102" s="121"/>
      <c r="AK102" s="121"/>
      <c r="AL102" s="121"/>
      <c r="AM102" s="121"/>
      <c r="AN102" s="121"/>
    </row>
    <row r="103" ht="17.25" hidden="1" customHeight="1">
      <c r="A103" s="121"/>
      <c r="B103" s="214"/>
      <c r="C103" s="214"/>
      <c r="D103" s="214"/>
      <c r="E103" s="214"/>
      <c r="F103" s="214"/>
      <c r="G103" s="214"/>
      <c r="H103" s="214"/>
      <c r="I103" s="214"/>
      <c r="J103" s="214"/>
      <c r="K103" s="214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  <c r="AA103" s="121"/>
      <c r="AB103" s="121"/>
      <c r="AC103" s="121"/>
      <c r="AD103" s="121"/>
      <c r="AE103" s="121"/>
      <c r="AF103" s="121"/>
      <c r="AG103" s="121"/>
      <c r="AH103" s="121"/>
      <c r="AI103" s="121"/>
      <c r="AJ103" s="121"/>
      <c r="AK103" s="121"/>
      <c r="AL103" s="121"/>
      <c r="AM103" s="121"/>
      <c r="AN103" s="121"/>
    </row>
    <row r="104" ht="17.25" hidden="1" customHeight="1">
      <c r="A104" s="121"/>
      <c r="B104" s="214"/>
      <c r="C104" s="214"/>
      <c r="D104" s="214"/>
      <c r="E104" s="214"/>
      <c r="F104" s="214"/>
      <c r="G104" s="214"/>
      <c r="H104" s="214"/>
      <c r="I104" s="214"/>
      <c r="J104" s="214"/>
      <c r="K104" s="214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  <c r="AA104" s="121"/>
      <c r="AB104" s="121"/>
      <c r="AC104" s="121"/>
      <c r="AD104" s="121"/>
      <c r="AE104" s="121"/>
      <c r="AF104" s="121"/>
      <c r="AG104" s="121"/>
      <c r="AH104" s="121"/>
      <c r="AI104" s="121"/>
      <c r="AJ104" s="121"/>
      <c r="AK104" s="121"/>
      <c r="AL104" s="121"/>
      <c r="AM104" s="121"/>
      <c r="AN104" s="121"/>
    </row>
    <row r="105" ht="17.25" hidden="1" customHeight="1">
      <c r="A105" s="121"/>
      <c r="B105" s="214"/>
      <c r="C105" s="214"/>
      <c r="D105" s="214"/>
      <c r="E105" s="214"/>
      <c r="F105" s="214"/>
      <c r="G105" s="214"/>
      <c r="H105" s="214"/>
      <c r="I105" s="214"/>
      <c r="J105" s="214"/>
      <c r="K105" s="214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  <c r="AA105" s="121"/>
      <c r="AB105" s="121"/>
      <c r="AC105" s="121"/>
      <c r="AD105" s="121"/>
      <c r="AE105" s="121"/>
      <c r="AF105" s="121"/>
      <c r="AG105" s="121"/>
      <c r="AH105" s="121"/>
      <c r="AI105" s="121"/>
      <c r="AJ105" s="121"/>
      <c r="AK105" s="121"/>
      <c r="AL105" s="121"/>
      <c r="AM105" s="121"/>
      <c r="AN105" s="121"/>
    </row>
    <row r="106" ht="17.25" hidden="1" customHeight="1">
      <c r="A106" s="121"/>
      <c r="B106" s="214"/>
      <c r="C106" s="214"/>
      <c r="D106" s="214"/>
      <c r="E106" s="214"/>
      <c r="F106" s="214"/>
      <c r="G106" s="214"/>
      <c r="H106" s="214"/>
      <c r="I106" s="214"/>
      <c r="J106" s="214"/>
      <c r="K106" s="214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  <c r="AA106" s="121"/>
      <c r="AB106" s="121"/>
      <c r="AC106" s="121"/>
      <c r="AD106" s="121"/>
      <c r="AE106" s="121"/>
      <c r="AF106" s="121"/>
      <c r="AG106" s="121"/>
      <c r="AH106" s="121"/>
      <c r="AI106" s="121"/>
      <c r="AJ106" s="121"/>
      <c r="AK106" s="121"/>
      <c r="AL106" s="121"/>
      <c r="AM106" s="121"/>
      <c r="AN106" s="121"/>
    </row>
    <row r="107" ht="17.25" hidden="1" customHeight="1">
      <c r="A107" s="121"/>
      <c r="B107" s="214"/>
      <c r="C107" s="214"/>
      <c r="D107" s="214"/>
      <c r="E107" s="214"/>
      <c r="F107" s="214"/>
      <c r="G107" s="214"/>
      <c r="H107" s="214"/>
      <c r="I107" s="214"/>
      <c r="J107" s="214"/>
      <c r="K107" s="214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  <c r="AA107" s="121"/>
      <c r="AB107" s="121"/>
      <c r="AC107" s="121"/>
      <c r="AD107" s="121"/>
      <c r="AE107" s="121"/>
      <c r="AF107" s="121"/>
      <c r="AG107" s="121"/>
      <c r="AH107" s="121"/>
      <c r="AI107" s="121"/>
      <c r="AJ107" s="121"/>
      <c r="AK107" s="121"/>
      <c r="AL107" s="121"/>
      <c r="AM107" s="121"/>
      <c r="AN107" s="121"/>
    </row>
    <row r="108" ht="17.25" hidden="1" customHeight="1">
      <c r="A108" s="121"/>
      <c r="B108" s="214"/>
      <c r="C108" s="214"/>
      <c r="D108" s="214"/>
      <c r="E108" s="214"/>
      <c r="F108" s="214"/>
      <c r="G108" s="214"/>
      <c r="H108" s="214"/>
      <c r="I108" s="214"/>
      <c r="J108" s="214"/>
      <c r="K108" s="214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  <c r="AA108" s="121"/>
      <c r="AB108" s="121"/>
      <c r="AC108" s="121"/>
      <c r="AD108" s="121"/>
      <c r="AE108" s="121"/>
      <c r="AF108" s="121"/>
      <c r="AG108" s="121"/>
      <c r="AH108" s="121"/>
      <c r="AI108" s="121"/>
      <c r="AJ108" s="121"/>
      <c r="AK108" s="121"/>
      <c r="AL108" s="121"/>
      <c r="AM108" s="121"/>
      <c r="AN108" s="121"/>
    </row>
    <row r="109" ht="17.25" hidden="1" customHeight="1">
      <c r="A109" s="121"/>
      <c r="B109" s="214"/>
      <c r="C109" s="214"/>
      <c r="D109" s="214"/>
      <c r="E109" s="214"/>
      <c r="F109" s="214"/>
      <c r="G109" s="214"/>
      <c r="H109" s="214"/>
      <c r="I109" s="214"/>
      <c r="J109" s="214"/>
      <c r="K109" s="214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  <c r="AA109" s="121"/>
      <c r="AB109" s="121"/>
      <c r="AC109" s="121"/>
      <c r="AD109" s="121"/>
      <c r="AE109" s="121"/>
      <c r="AF109" s="121"/>
      <c r="AG109" s="121"/>
      <c r="AH109" s="121"/>
      <c r="AI109" s="121"/>
      <c r="AJ109" s="121"/>
      <c r="AK109" s="121"/>
      <c r="AL109" s="121"/>
      <c r="AM109" s="121"/>
      <c r="AN109" s="121"/>
    </row>
    <row r="110" ht="17.25" hidden="1" customHeight="1">
      <c r="A110" s="121"/>
      <c r="B110" s="213">
        <f>COUNTIF($AD$43:$AD$47, true)</f>
        <v>0</v>
      </c>
      <c r="C110" s="214" t="str">
        <f t="array" ref="C110:H114">$X$43:$AC$47</f>
        <v/>
      </c>
      <c r="D110" s="214"/>
      <c r="E110" s="214"/>
      <c r="F110" s="214"/>
      <c r="G110" s="214"/>
      <c r="H110" s="214"/>
      <c r="I110" s="214"/>
      <c r="J110" s="214"/>
      <c r="K110" s="214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121"/>
      <c r="AK110" s="121"/>
      <c r="AL110" s="121"/>
      <c r="AM110" s="121"/>
      <c r="AN110" s="121"/>
    </row>
    <row r="111" ht="17.25" hidden="1" customHeight="1">
      <c r="A111" s="121"/>
      <c r="B111" s="214"/>
      <c r="C111" s="214"/>
      <c r="D111" s="214"/>
      <c r="E111" s="214"/>
      <c r="F111" s="214"/>
      <c r="G111" s="214"/>
      <c r="H111" s="214"/>
      <c r="I111" s="214"/>
      <c r="J111" s="214"/>
      <c r="K111" s="214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  <c r="AA111" s="121"/>
      <c r="AB111" s="121"/>
      <c r="AC111" s="121"/>
      <c r="AD111" s="121"/>
      <c r="AE111" s="121"/>
      <c r="AF111" s="121"/>
      <c r="AG111" s="121"/>
      <c r="AH111" s="121"/>
      <c r="AI111" s="121"/>
      <c r="AJ111" s="121"/>
      <c r="AK111" s="121"/>
      <c r="AL111" s="121"/>
      <c r="AM111" s="121"/>
      <c r="AN111" s="121"/>
    </row>
    <row r="112" ht="17.25" hidden="1" customHeight="1">
      <c r="A112" s="121"/>
      <c r="B112" s="214"/>
      <c r="C112" s="214"/>
      <c r="D112" s="214"/>
      <c r="E112" s="214"/>
      <c r="F112" s="214"/>
      <c r="G112" s="214"/>
      <c r="H112" s="214"/>
      <c r="I112" s="214"/>
      <c r="J112" s="214"/>
      <c r="K112" s="214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  <c r="AA112" s="121"/>
      <c r="AB112" s="121"/>
      <c r="AC112" s="121"/>
      <c r="AD112" s="121"/>
      <c r="AE112" s="121"/>
      <c r="AF112" s="121"/>
      <c r="AG112" s="121"/>
      <c r="AH112" s="121"/>
      <c r="AI112" s="121"/>
      <c r="AJ112" s="121"/>
      <c r="AK112" s="121"/>
      <c r="AL112" s="121"/>
      <c r="AM112" s="121"/>
      <c r="AN112" s="121"/>
    </row>
    <row r="113" ht="17.25" hidden="1" customHeight="1">
      <c r="A113" s="121"/>
      <c r="B113" s="214"/>
      <c r="C113" s="214"/>
      <c r="D113" s="214"/>
      <c r="E113" s="214"/>
      <c r="F113" s="214"/>
      <c r="G113" s="214"/>
      <c r="H113" s="214"/>
      <c r="I113" s="214"/>
      <c r="J113" s="214"/>
      <c r="K113" s="214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  <c r="AA113" s="121"/>
      <c r="AB113" s="121"/>
      <c r="AC113" s="121"/>
      <c r="AD113" s="121"/>
      <c r="AE113" s="121"/>
      <c r="AF113" s="121"/>
      <c r="AG113" s="121"/>
      <c r="AH113" s="121"/>
      <c r="AI113" s="121"/>
      <c r="AJ113" s="121"/>
      <c r="AK113" s="121"/>
      <c r="AL113" s="121"/>
      <c r="AM113" s="121"/>
      <c r="AN113" s="121"/>
    </row>
    <row r="114" ht="17.25" hidden="1" customHeight="1">
      <c r="A114" s="121"/>
      <c r="B114" s="214"/>
      <c r="C114" s="214"/>
      <c r="D114" s="214"/>
      <c r="E114" s="214"/>
      <c r="F114" s="214"/>
      <c r="G114" s="214"/>
      <c r="H114" s="214"/>
      <c r="I114" s="214"/>
      <c r="J114" s="214"/>
      <c r="K114" s="214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  <c r="AA114" s="121"/>
      <c r="AB114" s="121"/>
      <c r="AC114" s="121"/>
      <c r="AD114" s="121"/>
      <c r="AE114" s="121"/>
      <c r="AF114" s="121"/>
      <c r="AG114" s="121"/>
      <c r="AH114" s="121"/>
      <c r="AI114" s="121"/>
      <c r="AJ114" s="121"/>
      <c r="AK114" s="121"/>
      <c r="AL114" s="121"/>
      <c r="AM114" s="121"/>
      <c r="AN114" s="121"/>
    </row>
    <row r="115" ht="17.25" hidden="1" customHeight="1">
      <c r="A115" s="121"/>
      <c r="B115" s="214"/>
      <c r="C115" s="214"/>
      <c r="D115" s="214"/>
      <c r="E115" s="214"/>
      <c r="F115" s="214"/>
      <c r="G115" s="214"/>
      <c r="H115" s="214"/>
      <c r="I115" s="214"/>
      <c r="J115" s="214"/>
      <c r="K115" s="214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  <c r="AA115" s="121"/>
      <c r="AB115" s="121"/>
      <c r="AC115" s="121"/>
      <c r="AD115" s="121"/>
      <c r="AE115" s="121"/>
      <c r="AF115" s="121"/>
      <c r="AG115" s="121"/>
      <c r="AH115" s="121"/>
      <c r="AI115" s="121"/>
      <c r="AJ115" s="121"/>
      <c r="AK115" s="121"/>
      <c r="AL115" s="121"/>
      <c r="AM115" s="121"/>
      <c r="AN115" s="121"/>
    </row>
    <row r="116" ht="17.25" hidden="1" customHeight="1">
      <c r="A116" s="121"/>
      <c r="B116" s="214"/>
      <c r="C116" s="214"/>
      <c r="D116" s="214"/>
      <c r="E116" s="214"/>
      <c r="F116" s="214"/>
      <c r="G116" s="214"/>
      <c r="H116" s="214"/>
      <c r="I116" s="214"/>
      <c r="J116" s="214"/>
      <c r="K116" s="214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  <c r="AA116" s="121"/>
      <c r="AB116" s="121"/>
      <c r="AC116" s="121"/>
      <c r="AD116" s="121"/>
      <c r="AE116" s="121"/>
      <c r="AF116" s="121"/>
      <c r="AG116" s="121"/>
      <c r="AH116" s="121"/>
      <c r="AI116" s="121"/>
      <c r="AJ116" s="121"/>
      <c r="AK116" s="121"/>
      <c r="AL116" s="121"/>
      <c r="AM116" s="121"/>
      <c r="AN116" s="121"/>
    </row>
    <row r="117" ht="17.25" hidden="1" customHeight="1">
      <c r="A117" s="121"/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121"/>
      <c r="AF117" s="121"/>
      <c r="AG117" s="121"/>
      <c r="AH117" s="121"/>
      <c r="AI117" s="121"/>
      <c r="AJ117" s="121"/>
      <c r="AK117" s="121"/>
      <c r="AL117" s="121"/>
      <c r="AM117" s="121"/>
      <c r="AN117" s="121"/>
    </row>
    <row r="118" ht="17.25" hidden="1" customHeight="1">
      <c r="A118" s="121"/>
      <c r="B118" s="214"/>
      <c r="C118" s="214"/>
      <c r="D118" s="214"/>
      <c r="E118" s="214"/>
      <c r="F118" s="214"/>
      <c r="G118" s="214"/>
      <c r="H118" s="214"/>
      <c r="I118" s="214"/>
      <c r="J118" s="214"/>
      <c r="K118" s="214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  <c r="AA118" s="121"/>
      <c r="AB118" s="121"/>
      <c r="AC118" s="121"/>
      <c r="AD118" s="121"/>
      <c r="AE118" s="121"/>
      <c r="AF118" s="121"/>
      <c r="AG118" s="121"/>
      <c r="AH118" s="121"/>
      <c r="AI118" s="121"/>
      <c r="AJ118" s="121"/>
      <c r="AK118" s="121"/>
      <c r="AL118" s="121"/>
      <c r="AM118" s="121"/>
      <c r="AN118" s="121"/>
    </row>
    <row r="119" ht="17.25" hidden="1" customHeight="1">
      <c r="A119" s="121"/>
      <c r="B119" s="214"/>
      <c r="C119" s="214"/>
      <c r="D119" s="214"/>
      <c r="E119" s="214"/>
      <c r="F119" s="214"/>
      <c r="G119" s="214"/>
      <c r="H119" s="214"/>
      <c r="I119" s="214"/>
      <c r="J119" s="214"/>
      <c r="K119" s="214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  <c r="AA119" s="121"/>
      <c r="AB119" s="121"/>
      <c r="AC119" s="121"/>
      <c r="AD119" s="121"/>
      <c r="AE119" s="121"/>
      <c r="AF119" s="121"/>
      <c r="AG119" s="121"/>
      <c r="AH119" s="121"/>
      <c r="AI119" s="121"/>
      <c r="AJ119" s="121"/>
      <c r="AK119" s="121"/>
      <c r="AL119" s="121"/>
      <c r="AM119" s="121"/>
      <c r="AN119" s="121"/>
    </row>
    <row r="120" ht="17.25" hidden="1" customHeight="1">
      <c r="A120" s="121"/>
      <c r="B120" s="214"/>
      <c r="C120" s="214"/>
      <c r="D120" s="214"/>
      <c r="E120" s="214"/>
      <c r="F120" s="214"/>
      <c r="G120" s="214"/>
      <c r="H120" s="214"/>
      <c r="I120" s="214"/>
      <c r="J120" s="214"/>
      <c r="K120" s="214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</row>
    <row r="121" ht="17.25" hidden="1" customHeight="1">
      <c r="A121" s="121"/>
      <c r="B121" s="214"/>
      <c r="C121" s="214"/>
      <c r="D121" s="214"/>
      <c r="E121" s="214"/>
      <c r="F121" s="214"/>
      <c r="G121" s="214"/>
      <c r="H121" s="214"/>
      <c r="I121" s="214"/>
      <c r="J121" s="214"/>
      <c r="K121" s="214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</row>
    <row r="122" ht="17.25" hidden="1" customHeight="1">
      <c r="A122" s="121"/>
      <c r="B122" s="214"/>
      <c r="C122" s="214"/>
      <c r="D122" s="214"/>
      <c r="E122" s="214"/>
      <c r="F122" s="214"/>
      <c r="G122" s="214"/>
      <c r="H122" s="214"/>
      <c r="I122" s="214"/>
      <c r="J122" s="214"/>
      <c r="K122" s="214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  <c r="AA122" s="121"/>
      <c r="AB122" s="121"/>
      <c r="AC122" s="121"/>
      <c r="AD122" s="121"/>
      <c r="AE122" s="121"/>
      <c r="AF122" s="121"/>
      <c r="AG122" s="121"/>
      <c r="AH122" s="121"/>
      <c r="AI122" s="121"/>
      <c r="AJ122" s="121"/>
      <c r="AK122" s="121"/>
      <c r="AL122" s="121"/>
      <c r="AM122" s="121"/>
      <c r="AN122" s="121"/>
    </row>
    <row r="123" ht="17.25" hidden="1" customHeight="1">
      <c r="A123" s="121"/>
      <c r="B123" s="214"/>
      <c r="C123" s="214"/>
      <c r="D123" s="214"/>
      <c r="E123" s="214"/>
      <c r="F123" s="214"/>
      <c r="G123" s="214"/>
      <c r="H123" s="214"/>
      <c r="I123" s="214"/>
      <c r="J123" s="214"/>
      <c r="K123" s="214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1"/>
      <c r="AL123" s="121"/>
      <c r="AM123" s="121"/>
      <c r="AN123" s="121"/>
    </row>
    <row r="124" ht="17.25" hidden="1" customHeight="1">
      <c r="A124" s="121"/>
      <c r="B124" s="214"/>
      <c r="C124" s="214"/>
      <c r="D124" s="214"/>
      <c r="E124" s="214"/>
      <c r="F124" s="214"/>
      <c r="G124" s="214"/>
      <c r="H124" s="214"/>
      <c r="I124" s="214"/>
      <c r="J124" s="214"/>
      <c r="K124" s="214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</row>
    <row r="125" ht="17.25" hidden="1" customHeight="1">
      <c r="A125" s="121"/>
      <c r="B125" s="214"/>
      <c r="C125" s="214"/>
      <c r="D125" s="214"/>
      <c r="E125" s="214"/>
      <c r="F125" s="214"/>
      <c r="G125" s="214"/>
      <c r="H125" s="214"/>
      <c r="I125" s="214"/>
      <c r="J125" s="214"/>
      <c r="K125" s="214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</row>
    <row r="126" ht="17.25" hidden="1" customHeight="1">
      <c r="A126" s="121"/>
      <c r="B126" s="213">
        <f>COUNTIF($P$55:$P$59, true)</f>
        <v>0</v>
      </c>
      <c r="C126" s="214" t="str">
        <f t="array" ref="C126:O130">$C$55:$O$59</f>
        <v/>
      </c>
      <c r="D126" s="214"/>
      <c r="E126" s="214"/>
      <c r="F126" s="214"/>
      <c r="G126" s="214"/>
      <c r="H126" s="214"/>
      <c r="I126" s="214"/>
      <c r="J126" s="214"/>
      <c r="K126" s="214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</row>
    <row r="127" ht="17.25" hidden="1" customHeight="1">
      <c r="A127" s="121"/>
      <c r="B127" s="214"/>
      <c r="C127" s="214"/>
      <c r="D127" s="214"/>
      <c r="E127" s="214"/>
      <c r="F127" s="214"/>
      <c r="G127" s="214"/>
      <c r="H127" s="214"/>
      <c r="I127" s="214"/>
      <c r="J127" s="214"/>
      <c r="K127" s="214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</row>
    <row r="128" ht="17.25" hidden="1" customHeight="1">
      <c r="A128" s="121"/>
      <c r="B128" s="214"/>
      <c r="C128" s="214"/>
      <c r="D128" s="214"/>
      <c r="E128" s="214"/>
      <c r="F128" s="214"/>
      <c r="G128" s="214"/>
      <c r="H128" s="214"/>
      <c r="I128" s="214"/>
      <c r="J128" s="214"/>
      <c r="K128" s="214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</row>
    <row r="129" ht="17.25" hidden="1" customHeight="1">
      <c r="A129" s="121"/>
      <c r="B129" s="214"/>
      <c r="C129" s="214"/>
      <c r="D129" s="214"/>
      <c r="E129" s="214"/>
      <c r="F129" s="214"/>
      <c r="G129" s="214"/>
      <c r="H129" s="214"/>
      <c r="I129" s="214"/>
      <c r="J129" s="214"/>
      <c r="K129" s="214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</row>
    <row r="130" ht="17.25" hidden="1" customHeight="1">
      <c r="A130" s="121"/>
      <c r="B130" s="214"/>
      <c r="C130" s="214"/>
      <c r="D130" s="214"/>
      <c r="E130" s="214"/>
      <c r="F130" s="214"/>
      <c r="G130" s="214"/>
      <c r="H130" s="214"/>
      <c r="I130" s="214"/>
      <c r="J130" s="214"/>
      <c r="K130" s="214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</row>
    <row r="131" ht="17.25" hidden="1" customHeight="1">
      <c r="A131" s="121"/>
      <c r="B131" s="214"/>
      <c r="C131" s="214"/>
      <c r="D131" s="214"/>
      <c r="E131" s="214"/>
      <c r="F131" s="214"/>
      <c r="G131" s="214"/>
      <c r="H131" s="214"/>
      <c r="I131" s="214"/>
      <c r="J131" s="214"/>
      <c r="K131" s="214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</row>
    <row r="132" ht="17.25" hidden="1" customHeight="1">
      <c r="A132" s="121"/>
      <c r="B132" s="214"/>
      <c r="C132" s="214"/>
      <c r="D132" s="214"/>
      <c r="E132" s="214"/>
      <c r="F132" s="214"/>
      <c r="G132" s="214"/>
      <c r="H132" s="214"/>
      <c r="I132" s="214"/>
      <c r="J132" s="214"/>
      <c r="K132" s="214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</row>
    <row r="133" ht="17.25" hidden="1" customHeight="1">
      <c r="A133" s="121"/>
      <c r="B133" s="214"/>
      <c r="C133" s="214"/>
      <c r="D133" s="214"/>
      <c r="E133" s="214"/>
      <c r="F133" s="214"/>
      <c r="G133" s="214"/>
      <c r="H133" s="214"/>
      <c r="I133" s="214"/>
      <c r="J133" s="214"/>
      <c r="K133" s="214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</row>
    <row r="134" ht="17.25" hidden="1" customHeight="1">
      <c r="A134" s="121"/>
      <c r="B134" s="214"/>
      <c r="C134" s="214"/>
      <c r="D134" s="214"/>
      <c r="E134" s="214"/>
      <c r="F134" s="214"/>
      <c r="G134" s="214"/>
      <c r="H134" s="214"/>
      <c r="I134" s="214"/>
      <c r="J134" s="214"/>
      <c r="K134" s="214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  <c r="AA134" s="121"/>
      <c r="AB134" s="121"/>
      <c r="AC134" s="121"/>
      <c r="AD134" s="121"/>
      <c r="AE134" s="121"/>
      <c r="AF134" s="121"/>
      <c r="AG134" s="121"/>
      <c r="AH134" s="121"/>
      <c r="AI134" s="121"/>
      <c r="AJ134" s="121"/>
      <c r="AK134" s="121"/>
      <c r="AL134" s="121"/>
      <c r="AM134" s="121"/>
      <c r="AN134" s="121"/>
    </row>
    <row r="135" ht="17.25" hidden="1" customHeight="1">
      <c r="A135" s="121"/>
      <c r="B135" s="214"/>
      <c r="C135" s="214"/>
      <c r="D135" s="214"/>
      <c r="E135" s="214"/>
      <c r="F135" s="214"/>
      <c r="G135" s="214"/>
      <c r="H135" s="214"/>
      <c r="I135" s="214"/>
      <c r="J135" s="214"/>
      <c r="K135" s="214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  <c r="AA135" s="121"/>
      <c r="AB135" s="121"/>
      <c r="AC135" s="121"/>
      <c r="AD135" s="121"/>
      <c r="AE135" s="121"/>
      <c r="AF135" s="121"/>
      <c r="AG135" s="121"/>
      <c r="AH135" s="121"/>
      <c r="AI135" s="121"/>
      <c r="AJ135" s="121"/>
      <c r="AK135" s="121"/>
      <c r="AL135" s="121"/>
      <c r="AM135" s="121"/>
      <c r="AN135" s="121"/>
    </row>
    <row r="136" ht="17.25" hidden="1" customHeight="1">
      <c r="A136" s="121"/>
      <c r="B136" s="214"/>
      <c r="C136" s="214"/>
      <c r="D136" s="214"/>
      <c r="E136" s="214"/>
      <c r="F136" s="214"/>
      <c r="G136" s="214"/>
      <c r="H136" s="214"/>
      <c r="I136" s="214"/>
      <c r="J136" s="214"/>
      <c r="K136" s="214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  <c r="AA136" s="121"/>
      <c r="AB136" s="121"/>
      <c r="AC136" s="121"/>
      <c r="AD136" s="121"/>
      <c r="AE136" s="121"/>
      <c r="AF136" s="121"/>
      <c r="AG136" s="121"/>
      <c r="AH136" s="121"/>
      <c r="AI136" s="121"/>
      <c r="AJ136" s="121"/>
      <c r="AK136" s="121"/>
      <c r="AL136" s="121"/>
      <c r="AM136" s="121"/>
      <c r="AN136" s="121"/>
    </row>
    <row r="137" ht="17.25" hidden="1" customHeight="1">
      <c r="A137" s="121"/>
      <c r="B137" s="214"/>
      <c r="C137" s="214"/>
      <c r="D137" s="214"/>
      <c r="E137" s="214"/>
      <c r="F137" s="214"/>
      <c r="G137" s="214"/>
      <c r="H137" s="214"/>
      <c r="I137" s="214"/>
      <c r="J137" s="214"/>
      <c r="K137" s="214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  <c r="AA137" s="121"/>
      <c r="AB137" s="121"/>
      <c r="AC137" s="121"/>
      <c r="AD137" s="121"/>
      <c r="AE137" s="121"/>
      <c r="AF137" s="121"/>
      <c r="AG137" s="121"/>
      <c r="AH137" s="121"/>
      <c r="AI137" s="121"/>
      <c r="AJ137" s="121"/>
      <c r="AK137" s="121"/>
      <c r="AL137" s="121"/>
      <c r="AM137" s="121"/>
      <c r="AN137" s="121"/>
    </row>
    <row r="138" ht="17.25" hidden="1" customHeight="1">
      <c r="A138" s="121"/>
      <c r="B138" s="214"/>
      <c r="C138" s="214"/>
      <c r="D138" s="214"/>
      <c r="E138" s="214"/>
      <c r="F138" s="214"/>
      <c r="G138" s="214"/>
      <c r="H138" s="214"/>
      <c r="I138" s="214"/>
      <c r="J138" s="214"/>
      <c r="K138" s="214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21"/>
      <c r="AH138" s="121"/>
      <c r="AI138" s="121"/>
      <c r="AJ138" s="121"/>
      <c r="AK138" s="121"/>
      <c r="AL138" s="121"/>
      <c r="AM138" s="121"/>
      <c r="AN138" s="121"/>
    </row>
    <row r="139" ht="17.25" hidden="1" customHeight="1">
      <c r="A139" s="121"/>
      <c r="B139" s="214"/>
      <c r="C139" s="214"/>
      <c r="D139" s="214"/>
      <c r="E139" s="214"/>
      <c r="F139" s="214"/>
      <c r="G139" s="214"/>
      <c r="H139" s="214"/>
      <c r="I139" s="214"/>
      <c r="J139" s="214"/>
      <c r="K139" s="214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  <c r="AA139" s="121"/>
      <c r="AB139" s="121"/>
      <c r="AC139" s="121"/>
      <c r="AD139" s="121"/>
      <c r="AE139" s="121"/>
      <c r="AF139" s="121"/>
      <c r="AG139" s="121"/>
      <c r="AH139" s="121"/>
      <c r="AI139" s="121"/>
      <c r="AJ139" s="121"/>
      <c r="AK139" s="121"/>
      <c r="AL139" s="121"/>
      <c r="AM139" s="121"/>
      <c r="AN139" s="121"/>
    </row>
    <row r="140" ht="17.25" hidden="1" customHeight="1">
      <c r="A140" s="121"/>
      <c r="B140" s="214"/>
      <c r="C140" s="214"/>
      <c r="D140" s="214"/>
      <c r="E140" s="214"/>
      <c r="F140" s="214"/>
      <c r="G140" s="214"/>
      <c r="H140" s="214"/>
      <c r="I140" s="214"/>
      <c r="J140" s="214"/>
      <c r="K140" s="214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  <c r="AA140" s="121"/>
      <c r="AB140" s="121"/>
      <c r="AC140" s="121"/>
      <c r="AD140" s="121"/>
      <c r="AE140" s="121"/>
      <c r="AF140" s="121"/>
      <c r="AG140" s="121"/>
      <c r="AH140" s="121"/>
      <c r="AI140" s="121"/>
      <c r="AJ140" s="121"/>
      <c r="AK140" s="121"/>
      <c r="AL140" s="121"/>
      <c r="AM140" s="121"/>
      <c r="AN140" s="121"/>
    </row>
  </sheetData>
  <mergeCells count="86">
    <mergeCell ref="AI38:AM38"/>
    <mergeCell ref="AI39:AM39"/>
    <mergeCell ref="B42:B43"/>
    <mergeCell ref="C42:H42"/>
    <mergeCell ref="Q42:V42"/>
    <mergeCell ref="C43:H43"/>
    <mergeCell ref="Q43:V43"/>
    <mergeCell ref="J42:O42"/>
    <mergeCell ref="J43:O43"/>
    <mergeCell ref="C44:H44"/>
    <mergeCell ref="J44:O44"/>
    <mergeCell ref="Q44:V44"/>
    <mergeCell ref="J45:O45"/>
    <mergeCell ref="Q45:V45"/>
    <mergeCell ref="C47:H47"/>
    <mergeCell ref="C49:I49"/>
    <mergeCell ref="B49:B51"/>
    <mergeCell ref="C51:I51"/>
    <mergeCell ref="C52:H52"/>
    <mergeCell ref="B54:B55"/>
    <mergeCell ref="C45:H45"/>
    <mergeCell ref="C46:H46"/>
    <mergeCell ref="J46:O46"/>
    <mergeCell ref="Q46:V46"/>
    <mergeCell ref="J47:O47"/>
    <mergeCell ref="Q47:V47"/>
    <mergeCell ref="Q50:W50"/>
    <mergeCell ref="C55:O55"/>
    <mergeCell ref="C56:O56"/>
    <mergeCell ref="C57:O57"/>
    <mergeCell ref="C58:O58"/>
    <mergeCell ref="C59:O59"/>
    <mergeCell ref="C50:I50"/>
    <mergeCell ref="J50:P50"/>
    <mergeCell ref="J51:P51"/>
    <mergeCell ref="Q51:W51"/>
    <mergeCell ref="J52:O52"/>
    <mergeCell ref="Q52:V52"/>
    <mergeCell ref="C54:P54"/>
    <mergeCell ref="O3:T3"/>
    <mergeCell ref="O4:T4"/>
    <mergeCell ref="B7:B8"/>
    <mergeCell ref="C7:I7"/>
    <mergeCell ref="J7:P7"/>
    <mergeCell ref="Q7:W7"/>
    <mergeCell ref="B2:H2"/>
    <mergeCell ref="AG2:AM5"/>
    <mergeCell ref="B3:H4"/>
    <mergeCell ref="I3:M3"/>
    <mergeCell ref="V3:Z3"/>
    <mergeCell ref="I4:M4"/>
    <mergeCell ref="V4:Z4"/>
    <mergeCell ref="B5:H5"/>
    <mergeCell ref="AB3:AF3"/>
    <mergeCell ref="AB4:AF4"/>
    <mergeCell ref="X7:AD7"/>
    <mergeCell ref="AE7:AG7"/>
    <mergeCell ref="AI7:AJ8"/>
    <mergeCell ref="AK7:AM8"/>
    <mergeCell ref="AK10:AM10"/>
    <mergeCell ref="AK11:AM11"/>
    <mergeCell ref="AK12:AM12"/>
    <mergeCell ref="AK13:AM13"/>
    <mergeCell ref="AK14:AM14"/>
    <mergeCell ref="AK15:AM15"/>
    <mergeCell ref="AK16:AM16"/>
    <mergeCell ref="AK17:AM17"/>
    <mergeCell ref="AK18:AM18"/>
    <mergeCell ref="AK19:AM19"/>
    <mergeCell ref="AK20:AM20"/>
    <mergeCell ref="AK21:AM21"/>
    <mergeCell ref="B36:AG36"/>
    <mergeCell ref="AI36:AM36"/>
    <mergeCell ref="AI37:AM37"/>
    <mergeCell ref="X42:AC42"/>
    <mergeCell ref="X43:AC43"/>
    <mergeCell ref="X44:AC44"/>
    <mergeCell ref="X45:AC45"/>
    <mergeCell ref="X46:AC46"/>
    <mergeCell ref="X47:AC47"/>
    <mergeCell ref="J49:P49"/>
    <mergeCell ref="Q49:W49"/>
    <mergeCell ref="X49:AD49"/>
    <mergeCell ref="X50:AD50"/>
    <mergeCell ref="X51:AD51"/>
    <mergeCell ref="X52:AC52"/>
  </mergeCells>
  <conditionalFormatting sqref="C23:AG23">
    <cfRule type="cellIs" dxfId="0" priority="1" operator="greaterThanOrEqual">
      <formula>"75%"</formula>
    </cfRule>
  </conditionalFormatting>
  <dataValidations>
    <dataValidation type="list" allowBlank="1" showErrorMessage="1" sqref="C37:AG39">
      <formula1>"10,9,8,7,6,5,4,3,2,1"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2" width="25.88"/>
    <col customWidth="1" min="3" max="19" width="4.25"/>
    <col customWidth="1" min="20" max="20" width="6.88"/>
    <col customWidth="1" min="21" max="33" width="4.25"/>
    <col customWidth="1" min="34" max="40" width="4.75"/>
  </cols>
  <sheetData>
    <row r="1" ht="17.25" customHeight="1">
      <c r="A1" s="120"/>
      <c r="B1" s="121"/>
      <c r="C1" s="122"/>
      <c r="D1" s="120"/>
      <c r="E1" s="121"/>
      <c r="F1" s="121"/>
      <c r="G1" s="121"/>
      <c r="H1" s="121"/>
      <c r="I1" s="121"/>
      <c r="J1" s="121"/>
      <c r="K1" s="121"/>
      <c r="L1" s="121"/>
      <c r="M1" s="123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</row>
    <row r="2" ht="17.25" customHeight="1">
      <c r="A2" s="120"/>
      <c r="B2" s="124"/>
      <c r="C2" s="21"/>
      <c r="D2" s="21"/>
      <c r="E2" s="21"/>
      <c r="F2" s="21"/>
      <c r="G2" s="21"/>
      <c r="H2" s="21"/>
      <c r="I2" s="125"/>
      <c r="J2" s="125"/>
      <c r="K2" s="125"/>
      <c r="L2" s="125"/>
      <c r="M2" s="126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21"/>
      <c r="AI2" s="21"/>
      <c r="AJ2" s="21"/>
      <c r="AK2" s="21"/>
      <c r="AL2" s="21"/>
      <c r="AM2" s="42"/>
      <c r="AN2" s="121"/>
    </row>
    <row r="3" ht="17.25" customHeight="1">
      <c r="A3" s="120"/>
      <c r="B3" s="33" t="s">
        <v>32</v>
      </c>
      <c r="I3" s="29" t="s">
        <v>39</v>
      </c>
      <c r="N3" s="127"/>
      <c r="O3" s="29" t="s">
        <v>41</v>
      </c>
      <c r="U3" s="127"/>
      <c r="V3" s="29" t="s">
        <v>42</v>
      </c>
      <c r="AA3" s="127"/>
      <c r="AB3" s="29" t="s">
        <v>26</v>
      </c>
      <c r="AM3" s="105"/>
      <c r="AN3" s="121"/>
    </row>
    <row r="4" ht="17.25" customHeight="1">
      <c r="A4" s="120"/>
      <c r="B4" s="85"/>
      <c r="I4" s="128">
        <f>SUM(countA($B$10:$B$21),$I$62)</f>
        <v>0</v>
      </c>
      <c r="N4" s="129"/>
      <c r="O4" s="130">
        <f>SUM(COUNTIF($C$10:$AG$21, true),$J$62)</f>
        <v>0</v>
      </c>
      <c r="U4" s="129"/>
      <c r="V4" s="131" t="str">
        <f>IFERROR(__xludf.DUMMYFUNCTION("iferror(SPARKLINE($AB$4:$AF$4,{""charttype"",""bar"";""max"",1;""color1"",""#c9e4b2""}))"),"")</f>
        <v/>
      </c>
      <c r="AA4" s="129"/>
      <c r="AB4" s="132">
        <f>$O$4/SUM(COUNTA($C$10:$AG$21),$K$62)</f>
        <v>0</v>
      </c>
      <c r="AM4" s="105"/>
      <c r="AN4" s="121"/>
    </row>
    <row r="5" ht="17.25" customHeight="1">
      <c r="A5" s="120"/>
      <c r="B5" s="133"/>
      <c r="C5" s="37"/>
      <c r="D5" s="37"/>
      <c r="E5" s="37"/>
      <c r="F5" s="37"/>
      <c r="G5" s="37"/>
      <c r="H5" s="37"/>
      <c r="I5" s="134"/>
      <c r="J5" s="134"/>
      <c r="K5" s="134"/>
      <c r="L5" s="134"/>
      <c r="M5" s="135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4"/>
      <c r="AG5" s="37"/>
      <c r="AH5" s="37"/>
      <c r="AI5" s="37"/>
      <c r="AJ5" s="37"/>
      <c r="AK5" s="37"/>
      <c r="AL5" s="37"/>
      <c r="AM5" s="44"/>
      <c r="AN5" s="121"/>
    </row>
    <row r="6" ht="17.25" customHeight="1">
      <c r="A6" s="120"/>
      <c r="B6" s="121"/>
      <c r="C6" s="122"/>
      <c r="D6" s="120"/>
      <c r="E6" s="121"/>
      <c r="F6" s="121"/>
      <c r="G6" s="121"/>
      <c r="H6" s="121"/>
      <c r="I6" s="121"/>
      <c r="J6" s="121"/>
      <c r="K6" s="121"/>
      <c r="L6" s="121"/>
      <c r="M6" s="123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</row>
    <row r="7" ht="17.25" customHeight="1">
      <c r="A7" s="120"/>
      <c r="B7" s="136" t="s">
        <v>43</v>
      </c>
      <c r="C7" s="190" t="s">
        <v>44</v>
      </c>
      <c r="D7" s="46"/>
      <c r="E7" s="46"/>
      <c r="F7" s="46"/>
      <c r="G7" s="46"/>
      <c r="H7" s="46"/>
      <c r="I7" s="47"/>
      <c r="J7" s="216" t="s">
        <v>45</v>
      </c>
      <c r="K7" s="46"/>
      <c r="L7" s="46"/>
      <c r="M7" s="46"/>
      <c r="N7" s="46"/>
      <c r="O7" s="46"/>
      <c r="P7" s="47"/>
      <c r="Q7" s="217" t="s">
        <v>46</v>
      </c>
      <c r="R7" s="46"/>
      <c r="S7" s="46"/>
      <c r="T7" s="46"/>
      <c r="U7" s="46"/>
      <c r="V7" s="46"/>
      <c r="W7" s="47"/>
      <c r="X7" s="218" t="s">
        <v>47</v>
      </c>
      <c r="Y7" s="46"/>
      <c r="Z7" s="46"/>
      <c r="AA7" s="46"/>
      <c r="AB7" s="46"/>
      <c r="AC7" s="46"/>
      <c r="AD7" s="47"/>
      <c r="AE7" s="141"/>
      <c r="AF7" s="46"/>
      <c r="AG7" s="47"/>
      <c r="AH7" s="121"/>
      <c r="AI7" s="62" t="s">
        <v>48</v>
      </c>
      <c r="AJ7" s="42"/>
      <c r="AK7" s="62" t="s">
        <v>49</v>
      </c>
      <c r="AL7" s="21"/>
      <c r="AM7" s="42"/>
      <c r="AN7" s="121"/>
    </row>
    <row r="8" ht="17.25" customHeight="1">
      <c r="A8" s="121"/>
      <c r="B8" s="86"/>
      <c r="C8" s="143">
        <f>weekday(date(Dashboard!$Q$3,$AG$45,C9),1)</f>
        <v>1</v>
      </c>
      <c r="D8" s="143">
        <f>weekday(date(Dashboard!$Q$3,$AG$45,D9),1)</f>
        <v>2</v>
      </c>
      <c r="E8" s="143">
        <f>weekday(date(Dashboard!$Q$3,$AG$45,E9),1)</f>
        <v>3</v>
      </c>
      <c r="F8" s="143">
        <f>weekday(date(Dashboard!$Q$3,$AG$45,F9),1)</f>
        <v>4</v>
      </c>
      <c r="G8" s="143">
        <f>weekday(date(Dashboard!$Q$3,$AG$45,G9),1)</f>
        <v>5</v>
      </c>
      <c r="H8" s="143">
        <f>weekday(date(Dashboard!$Q$3,$AG$45,H9),1)</f>
        <v>6</v>
      </c>
      <c r="I8" s="143">
        <f>weekday(date(Dashboard!$Q$3,$AG$45,I9),1)</f>
        <v>7</v>
      </c>
      <c r="J8" s="144">
        <f>weekday(date(Dashboard!$Q$3,$AG$45,J9),1)</f>
        <v>1</v>
      </c>
      <c r="K8" s="144">
        <f>weekday(date(Dashboard!$Q$3,$AG$45,K9),1)</f>
        <v>2</v>
      </c>
      <c r="L8" s="144">
        <f>weekday(date(Dashboard!$Q$3,$AG$45,L9),1)</f>
        <v>3</v>
      </c>
      <c r="M8" s="144">
        <f>weekday(date(Dashboard!$Q$3,$AG$45,M9),1)</f>
        <v>4</v>
      </c>
      <c r="N8" s="144">
        <f>weekday(date(Dashboard!$Q$3,$AG$45,N9),1)</f>
        <v>5</v>
      </c>
      <c r="O8" s="144">
        <f>weekday(date(Dashboard!$Q$3,$AG$45,O9),1)</f>
        <v>6</v>
      </c>
      <c r="P8" s="144">
        <f>weekday(date(Dashboard!$Q$3,$AG$45,P9),1)</f>
        <v>7</v>
      </c>
      <c r="Q8" s="145">
        <f>weekday(date(Dashboard!$Q$3,$AG$45,Q9),1)</f>
        <v>1</v>
      </c>
      <c r="R8" s="145">
        <f>weekday(date(Dashboard!$Q$3,$AG$45,R9),1)</f>
        <v>2</v>
      </c>
      <c r="S8" s="145">
        <f>weekday(date(Dashboard!$Q$3,$AG$45,S9),1)</f>
        <v>3</v>
      </c>
      <c r="T8" s="145">
        <f>weekday(date(Dashboard!$Q$3,$AG$45,T9),1)</f>
        <v>4</v>
      </c>
      <c r="U8" s="145">
        <f>weekday(date(Dashboard!$Q$3,$AG$45,U9),1)</f>
        <v>5</v>
      </c>
      <c r="V8" s="145">
        <f>weekday(date(Dashboard!$Q$3,$AG$45,V9),1)</f>
        <v>6</v>
      </c>
      <c r="W8" s="145">
        <f>weekday(date(Dashboard!$Q$3,$AG$45,W9),1)</f>
        <v>7</v>
      </c>
      <c r="X8" s="146">
        <f>weekday(date(Dashboard!$Q$3,$AG$45,X9),1)</f>
        <v>1</v>
      </c>
      <c r="Y8" s="146">
        <f>weekday(date(Dashboard!$Q$3,$AG$45,Y9),1)</f>
        <v>2</v>
      </c>
      <c r="Z8" s="146">
        <f>weekday(date(Dashboard!$Q$3,$AG$45,Z9),1)</f>
        <v>3</v>
      </c>
      <c r="AA8" s="146">
        <f>weekday(date(Dashboard!$Q$3,$AG$45,AA9),1)</f>
        <v>4</v>
      </c>
      <c r="AB8" s="146">
        <f>weekday(date(Dashboard!$Q$3,$AG$45,AB9),1)</f>
        <v>5</v>
      </c>
      <c r="AC8" s="146">
        <f>weekday(date(Dashboard!$Q$3,$AG$45,AC9),1)</f>
        <v>6</v>
      </c>
      <c r="AD8" s="146">
        <f>weekday(date(Dashboard!$Q$3,$AG$45,AD9),1)</f>
        <v>7</v>
      </c>
      <c r="AE8" s="147">
        <f>weekday(date(Dashboard!$Q$3,$AG$45,AE9),1)</f>
        <v>1</v>
      </c>
      <c r="AF8" s="147">
        <f>weekday(date(Dashboard!$Q$3,$AG$45,AF9),1)</f>
        <v>2</v>
      </c>
      <c r="AG8" s="148">
        <f>weekday(date(Dashboard!$Q$3,$AG$45,AG9),1)</f>
        <v>3</v>
      </c>
      <c r="AH8" s="149"/>
      <c r="AI8" s="43"/>
      <c r="AJ8" s="44"/>
      <c r="AK8" s="43"/>
      <c r="AL8" s="37"/>
      <c r="AM8" s="44"/>
      <c r="AN8" s="149"/>
    </row>
    <row r="9" ht="17.25" customHeight="1">
      <c r="A9" s="121"/>
      <c r="B9" s="150">
        <f>TODAY()</f>
        <v>46025</v>
      </c>
      <c r="C9" s="151">
        <v>1.0</v>
      </c>
      <c r="D9" s="151">
        <v>2.0</v>
      </c>
      <c r="E9" s="151">
        <v>3.0</v>
      </c>
      <c r="F9" s="151">
        <v>4.0</v>
      </c>
      <c r="G9" s="151">
        <v>5.0</v>
      </c>
      <c r="H9" s="151">
        <v>6.0</v>
      </c>
      <c r="I9" s="151">
        <v>7.0</v>
      </c>
      <c r="J9" s="152">
        <v>8.0</v>
      </c>
      <c r="K9" s="152">
        <v>9.0</v>
      </c>
      <c r="L9" s="152">
        <v>10.0</v>
      </c>
      <c r="M9" s="152">
        <v>11.0</v>
      </c>
      <c r="N9" s="152">
        <v>12.0</v>
      </c>
      <c r="O9" s="152">
        <v>13.0</v>
      </c>
      <c r="P9" s="152">
        <v>14.0</v>
      </c>
      <c r="Q9" s="153">
        <v>15.0</v>
      </c>
      <c r="R9" s="153">
        <v>16.0</v>
      </c>
      <c r="S9" s="153">
        <v>17.0</v>
      </c>
      <c r="T9" s="153">
        <v>18.0</v>
      </c>
      <c r="U9" s="153">
        <v>19.0</v>
      </c>
      <c r="V9" s="153">
        <v>20.0</v>
      </c>
      <c r="W9" s="153">
        <v>21.0</v>
      </c>
      <c r="X9" s="154">
        <v>22.0</v>
      </c>
      <c r="Y9" s="154">
        <v>23.0</v>
      </c>
      <c r="Z9" s="154">
        <v>24.0</v>
      </c>
      <c r="AA9" s="154">
        <v>25.0</v>
      </c>
      <c r="AB9" s="154">
        <v>26.0</v>
      </c>
      <c r="AC9" s="154">
        <v>27.0</v>
      </c>
      <c r="AD9" s="154">
        <v>28.0</v>
      </c>
      <c r="AE9" s="155">
        <v>29.0</v>
      </c>
      <c r="AF9" s="155">
        <v>30.0</v>
      </c>
      <c r="AG9" s="155">
        <v>31.0</v>
      </c>
      <c r="AH9" s="149"/>
      <c r="AI9" s="156" t="s">
        <v>14</v>
      </c>
      <c r="AJ9" s="156" t="s">
        <v>50</v>
      </c>
      <c r="AK9" s="157"/>
      <c r="AL9" s="158"/>
      <c r="AM9" s="159"/>
      <c r="AN9" s="149"/>
    </row>
    <row r="10" ht="17.25" customHeight="1">
      <c r="A10" s="121"/>
      <c r="B10" s="160"/>
      <c r="C10" s="161" t="b">
        <v>0</v>
      </c>
      <c r="D10" s="162" t="b">
        <v>0</v>
      </c>
      <c r="E10" s="162" t="b">
        <v>0</v>
      </c>
      <c r="F10" s="162" t="b">
        <v>0</v>
      </c>
      <c r="G10" s="162" t="b">
        <v>0</v>
      </c>
      <c r="H10" s="162" t="b">
        <v>0</v>
      </c>
      <c r="I10" s="162" t="b">
        <v>0</v>
      </c>
      <c r="J10" s="163" t="b">
        <v>0</v>
      </c>
      <c r="K10" s="163" t="b">
        <v>0</v>
      </c>
      <c r="L10" s="163" t="b">
        <v>0</v>
      </c>
      <c r="M10" s="163" t="b">
        <v>0</v>
      </c>
      <c r="N10" s="163" t="b">
        <v>0</v>
      </c>
      <c r="O10" s="163" t="b">
        <v>0</v>
      </c>
      <c r="P10" s="163" t="b">
        <v>0</v>
      </c>
      <c r="Q10" s="164" t="b">
        <v>0</v>
      </c>
      <c r="R10" s="164" t="b">
        <v>0</v>
      </c>
      <c r="S10" s="164" t="b">
        <v>0</v>
      </c>
      <c r="T10" s="164" t="b">
        <v>0</v>
      </c>
      <c r="U10" s="164" t="b">
        <v>0</v>
      </c>
      <c r="V10" s="164" t="b">
        <v>0</v>
      </c>
      <c r="W10" s="164" t="b">
        <v>0</v>
      </c>
      <c r="X10" s="165" t="b">
        <v>0</v>
      </c>
      <c r="Y10" s="165" t="b">
        <v>0</v>
      </c>
      <c r="Z10" s="165" t="b">
        <v>0</v>
      </c>
      <c r="AA10" s="165" t="b">
        <v>0</v>
      </c>
      <c r="AB10" s="165" t="b">
        <v>0</v>
      </c>
      <c r="AC10" s="165" t="b">
        <v>0</v>
      </c>
      <c r="AD10" s="165" t="b">
        <v>0</v>
      </c>
      <c r="AE10" s="166" t="b">
        <v>0</v>
      </c>
      <c r="AF10" s="166" t="b">
        <v>0</v>
      </c>
      <c r="AG10" s="166" t="b">
        <v>0</v>
      </c>
      <c r="AH10" s="149"/>
      <c r="AI10" s="167"/>
      <c r="AJ10" s="168">
        <f t="array" ref="AJ10:AJ21">MMULT(N($C$10:$AG$21), TRANSPOSE(COLUMN($C$10:$AG$21)^0))
</f>
        <v>0</v>
      </c>
      <c r="AK10" s="169" t="str">
        <f>IFERROR(__xludf.DUMMYFUNCTION("iferror(SPARKLINE(AJ10/AI10,{""charttype"",""bar"";""max"",1;""color1"",""#c9e4b2""}))"),"")</f>
        <v/>
      </c>
      <c r="AL10" s="46"/>
      <c r="AM10" s="47"/>
      <c r="AN10" s="170"/>
    </row>
    <row r="11" ht="17.25" customHeight="1">
      <c r="A11" s="121"/>
      <c r="B11" s="160"/>
      <c r="C11" s="161" t="b">
        <v>0</v>
      </c>
      <c r="D11" s="162" t="b">
        <v>0</v>
      </c>
      <c r="E11" s="162" t="b">
        <v>0</v>
      </c>
      <c r="F11" s="162" t="b">
        <v>0</v>
      </c>
      <c r="G11" s="162" t="b">
        <v>0</v>
      </c>
      <c r="H11" s="162" t="b">
        <v>0</v>
      </c>
      <c r="I11" s="162" t="b">
        <v>0</v>
      </c>
      <c r="J11" s="163" t="b">
        <v>0</v>
      </c>
      <c r="K11" s="163" t="b">
        <v>0</v>
      </c>
      <c r="L11" s="163" t="b">
        <v>0</v>
      </c>
      <c r="M11" s="163" t="b">
        <v>0</v>
      </c>
      <c r="N11" s="163" t="b">
        <v>0</v>
      </c>
      <c r="O11" s="163" t="b">
        <v>0</v>
      </c>
      <c r="P11" s="163" t="b">
        <v>0</v>
      </c>
      <c r="Q11" s="164" t="b">
        <v>0</v>
      </c>
      <c r="R11" s="164" t="b">
        <v>0</v>
      </c>
      <c r="S11" s="164" t="b">
        <v>0</v>
      </c>
      <c r="T11" s="164" t="b">
        <v>0</v>
      </c>
      <c r="U11" s="164" t="b">
        <v>0</v>
      </c>
      <c r="V11" s="164" t="b">
        <v>0</v>
      </c>
      <c r="W11" s="164" t="b">
        <v>0</v>
      </c>
      <c r="X11" s="165" t="b">
        <v>0</v>
      </c>
      <c r="Y11" s="165" t="b">
        <v>0</v>
      </c>
      <c r="Z11" s="165" t="b">
        <v>0</v>
      </c>
      <c r="AA11" s="165" t="b">
        <v>0</v>
      </c>
      <c r="AB11" s="165" t="b">
        <v>0</v>
      </c>
      <c r="AC11" s="165" t="b">
        <v>0</v>
      </c>
      <c r="AD11" s="165" t="b">
        <v>0</v>
      </c>
      <c r="AE11" s="166" t="b">
        <v>0</v>
      </c>
      <c r="AF11" s="166" t="b">
        <v>0</v>
      </c>
      <c r="AG11" s="166" t="b">
        <v>0</v>
      </c>
      <c r="AH11" s="149"/>
      <c r="AI11" s="167"/>
      <c r="AJ11" s="160">
        <v>0.0</v>
      </c>
      <c r="AK11" s="169" t="str">
        <f>IFERROR(__xludf.DUMMYFUNCTION("iferror(SPARKLINE(AJ11/AI11,{""charttype"",""bar"";""max"",1;""color1"",""#c9e4b2""}))"),"")</f>
        <v/>
      </c>
      <c r="AL11" s="46"/>
      <c r="AM11" s="47"/>
      <c r="AN11" s="170"/>
    </row>
    <row r="12" ht="17.25" customHeight="1">
      <c r="A12" s="121"/>
      <c r="B12" s="160"/>
      <c r="C12" s="161" t="b">
        <v>0</v>
      </c>
      <c r="D12" s="162" t="b">
        <v>0</v>
      </c>
      <c r="E12" s="162" t="b">
        <v>0</v>
      </c>
      <c r="F12" s="162" t="b">
        <v>0</v>
      </c>
      <c r="G12" s="162" t="b">
        <v>0</v>
      </c>
      <c r="H12" s="162" t="b">
        <v>0</v>
      </c>
      <c r="I12" s="162" t="b">
        <v>0</v>
      </c>
      <c r="J12" s="163" t="b">
        <v>0</v>
      </c>
      <c r="K12" s="163" t="b">
        <v>0</v>
      </c>
      <c r="L12" s="163" t="b">
        <v>0</v>
      </c>
      <c r="M12" s="163" t="b">
        <v>0</v>
      </c>
      <c r="N12" s="163" t="b">
        <v>0</v>
      </c>
      <c r="O12" s="163" t="b">
        <v>0</v>
      </c>
      <c r="P12" s="163" t="b">
        <v>0</v>
      </c>
      <c r="Q12" s="164" t="b">
        <v>0</v>
      </c>
      <c r="R12" s="164" t="b">
        <v>0</v>
      </c>
      <c r="S12" s="164" t="b">
        <v>0</v>
      </c>
      <c r="T12" s="164" t="b">
        <v>0</v>
      </c>
      <c r="U12" s="164" t="b">
        <v>0</v>
      </c>
      <c r="V12" s="164" t="b">
        <v>0</v>
      </c>
      <c r="W12" s="164" t="b">
        <v>0</v>
      </c>
      <c r="X12" s="165" t="b">
        <v>0</v>
      </c>
      <c r="Y12" s="165" t="b">
        <v>0</v>
      </c>
      <c r="Z12" s="165" t="b">
        <v>0</v>
      </c>
      <c r="AA12" s="165" t="b">
        <v>0</v>
      </c>
      <c r="AB12" s="165" t="b">
        <v>0</v>
      </c>
      <c r="AC12" s="165" t="b">
        <v>0</v>
      </c>
      <c r="AD12" s="165" t="b">
        <v>0</v>
      </c>
      <c r="AE12" s="166" t="b">
        <v>0</v>
      </c>
      <c r="AF12" s="166" t="b">
        <v>0</v>
      </c>
      <c r="AG12" s="166" t="b">
        <v>0</v>
      </c>
      <c r="AH12" s="149"/>
      <c r="AI12" s="167"/>
      <c r="AJ12" s="160">
        <v>0.0</v>
      </c>
      <c r="AK12" s="169" t="str">
        <f>IFERROR(__xludf.DUMMYFUNCTION("iferror(SPARKLINE(AJ12/AI12,{""charttype"",""bar"";""max"",1;""color1"",""#c9e4b2""}))"),"")</f>
        <v/>
      </c>
      <c r="AL12" s="46"/>
      <c r="AM12" s="47"/>
      <c r="AN12" s="170"/>
    </row>
    <row r="13" ht="17.25" customHeight="1">
      <c r="A13" s="121"/>
      <c r="B13" s="160"/>
      <c r="C13" s="161" t="b">
        <v>0</v>
      </c>
      <c r="D13" s="162" t="b">
        <v>0</v>
      </c>
      <c r="E13" s="162" t="b">
        <v>0</v>
      </c>
      <c r="F13" s="162" t="b">
        <v>0</v>
      </c>
      <c r="G13" s="162" t="b">
        <v>0</v>
      </c>
      <c r="H13" s="162" t="b">
        <v>0</v>
      </c>
      <c r="I13" s="162" t="b">
        <v>0</v>
      </c>
      <c r="J13" s="163" t="b">
        <v>0</v>
      </c>
      <c r="K13" s="163" t="b">
        <v>0</v>
      </c>
      <c r="L13" s="163" t="b">
        <v>0</v>
      </c>
      <c r="M13" s="163" t="b">
        <v>0</v>
      </c>
      <c r="N13" s="163" t="b">
        <v>0</v>
      </c>
      <c r="O13" s="163" t="b">
        <v>0</v>
      </c>
      <c r="P13" s="163" t="b">
        <v>0</v>
      </c>
      <c r="Q13" s="164" t="b">
        <v>0</v>
      </c>
      <c r="R13" s="164" t="b">
        <v>0</v>
      </c>
      <c r="S13" s="164" t="b">
        <v>0</v>
      </c>
      <c r="T13" s="164" t="b">
        <v>0</v>
      </c>
      <c r="U13" s="164" t="b">
        <v>0</v>
      </c>
      <c r="V13" s="164" t="b">
        <v>0</v>
      </c>
      <c r="W13" s="164" t="b">
        <v>0</v>
      </c>
      <c r="X13" s="165" t="b">
        <v>0</v>
      </c>
      <c r="Y13" s="165" t="b">
        <v>0</v>
      </c>
      <c r="Z13" s="165" t="b">
        <v>0</v>
      </c>
      <c r="AA13" s="165" t="b">
        <v>0</v>
      </c>
      <c r="AB13" s="165" t="b">
        <v>0</v>
      </c>
      <c r="AC13" s="165" t="b">
        <v>0</v>
      </c>
      <c r="AD13" s="165" t="b">
        <v>0</v>
      </c>
      <c r="AE13" s="166" t="b">
        <v>0</v>
      </c>
      <c r="AF13" s="166" t="b">
        <v>0</v>
      </c>
      <c r="AG13" s="166" t="b">
        <v>0</v>
      </c>
      <c r="AH13" s="149"/>
      <c r="AI13" s="167"/>
      <c r="AJ13" s="160">
        <v>0.0</v>
      </c>
      <c r="AK13" s="169" t="str">
        <f>IFERROR(__xludf.DUMMYFUNCTION("iferror(SPARKLINE(AJ13/AI13,{""charttype"",""bar"";""max"",1;""color1"",""#c9e4b2""}))"),"")</f>
        <v/>
      </c>
      <c r="AL13" s="46"/>
      <c r="AM13" s="47"/>
      <c r="AN13" s="170"/>
    </row>
    <row r="14" ht="17.25" customHeight="1">
      <c r="A14" s="121"/>
      <c r="B14" s="160"/>
      <c r="C14" s="161" t="b">
        <v>0</v>
      </c>
      <c r="D14" s="162" t="b">
        <v>0</v>
      </c>
      <c r="E14" s="162" t="b">
        <v>0</v>
      </c>
      <c r="F14" s="162" t="b">
        <v>0</v>
      </c>
      <c r="G14" s="162" t="b">
        <v>0</v>
      </c>
      <c r="H14" s="162" t="b">
        <v>0</v>
      </c>
      <c r="I14" s="162" t="b">
        <v>0</v>
      </c>
      <c r="J14" s="163" t="b">
        <v>0</v>
      </c>
      <c r="K14" s="163" t="b">
        <v>0</v>
      </c>
      <c r="L14" s="163" t="b">
        <v>0</v>
      </c>
      <c r="M14" s="163" t="b">
        <v>0</v>
      </c>
      <c r="N14" s="163" t="b">
        <v>0</v>
      </c>
      <c r="O14" s="163" t="b">
        <v>0</v>
      </c>
      <c r="P14" s="163" t="b">
        <v>0</v>
      </c>
      <c r="Q14" s="164" t="b">
        <v>0</v>
      </c>
      <c r="R14" s="164" t="b">
        <v>0</v>
      </c>
      <c r="S14" s="164" t="b">
        <v>0</v>
      </c>
      <c r="T14" s="164" t="b">
        <v>0</v>
      </c>
      <c r="U14" s="164" t="b">
        <v>0</v>
      </c>
      <c r="V14" s="164" t="b">
        <v>0</v>
      </c>
      <c r="W14" s="164" t="b">
        <v>0</v>
      </c>
      <c r="X14" s="165" t="b">
        <v>0</v>
      </c>
      <c r="Y14" s="165" t="b">
        <v>0</v>
      </c>
      <c r="Z14" s="165" t="b">
        <v>0</v>
      </c>
      <c r="AA14" s="165" t="b">
        <v>0</v>
      </c>
      <c r="AB14" s="165" t="b">
        <v>0</v>
      </c>
      <c r="AC14" s="165" t="b">
        <v>0</v>
      </c>
      <c r="AD14" s="165" t="b">
        <v>0</v>
      </c>
      <c r="AE14" s="166" t="b">
        <v>0</v>
      </c>
      <c r="AF14" s="166" t="b">
        <v>0</v>
      </c>
      <c r="AG14" s="166" t="b">
        <v>0</v>
      </c>
      <c r="AH14" s="149"/>
      <c r="AI14" s="167"/>
      <c r="AJ14" s="160">
        <v>0.0</v>
      </c>
      <c r="AK14" s="169" t="str">
        <f>IFERROR(__xludf.DUMMYFUNCTION("iferror(SPARKLINE(AJ14/AI14,{""charttype"",""bar"";""max"",1;""color1"",""#c9e4b2""}))"),"")</f>
        <v/>
      </c>
      <c r="AL14" s="46"/>
      <c r="AM14" s="47"/>
      <c r="AN14" s="170"/>
    </row>
    <row r="15" ht="17.25" customHeight="1">
      <c r="A15" s="121"/>
      <c r="B15" s="160"/>
      <c r="C15" s="161" t="b">
        <v>0</v>
      </c>
      <c r="D15" s="162" t="b">
        <v>0</v>
      </c>
      <c r="E15" s="162" t="b">
        <v>0</v>
      </c>
      <c r="F15" s="162" t="b">
        <v>0</v>
      </c>
      <c r="G15" s="162" t="b">
        <v>0</v>
      </c>
      <c r="H15" s="162" t="b">
        <v>0</v>
      </c>
      <c r="I15" s="162" t="b">
        <v>0</v>
      </c>
      <c r="J15" s="163" t="b">
        <v>0</v>
      </c>
      <c r="K15" s="163" t="b">
        <v>0</v>
      </c>
      <c r="L15" s="163" t="b">
        <v>0</v>
      </c>
      <c r="M15" s="163" t="b">
        <v>0</v>
      </c>
      <c r="N15" s="163" t="b">
        <v>0</v>
      </c>
      <c r="O15" s="163" t="b">
        <v>0</v>
      </c>
      <c r="P15" s="163" t="b">
        <v>0</v>
      </c>
      <c r="Q15" s="164" t="b">
        <v>0</v>
      </c>
      <c r="R15" s="164" t="b">
        <v>0</v>
      </c>
      <c r="S15" s="164" t="b">
        <v>0</v>
      </c>
      <c r="T15" s="164" t="b">
        <v>0</v>
      </c>
      <c r="U15" s="164" t="b">
        <v>0</v>
      </c>
      <c r="V15" s="164" t="b">
        <v>0</v>
      </c>
      <c r="W15" s="164" t="b">
        <v>0</v>
      </c>
      <c r="X15" s="165" t="b">
        <v>0</v>
      </c>
      <c r="Y15" s="165" t="b">
        <v>0</v>
      </c>
      <c r="Z15" s="165" t="b">
        <v>0</v>
      </c>
      <c r="AA15" s="165" t="b">
        <v>0</v>
      </c>
      <c r="AB15" s="165" t="b">
        <v>0</v>
      </c>
      <c r="AC15" s="165" t="b">
        <v>0</v>
      </c>
      <c r="AD15" s="165" t="b">
        <v>0</v>
      </c>
      <c r="AE15" s="166" t="b">
        <v>0</v>
      </c>
      <c r="AF15" s="166" t="b">
        <v>0</v>
      </c>
      <c r="AG15" s="166" t="b">
        <v>0</v>
      </c>
      <c r="AH15" s="149"/>
      <c r="AI15" s="167"/>
      <c r="AJ15" s="160">
        <v>0.0</v>
      </c>
      <c r="AK15" s="169" t="str">
        <f>IFERROR(__xludf.DUMMYFUNCTION("iferror(SPARKLINE(AJ15/AI15,{""charttype"",""bar"";""max"",1;""color1"",""#c9e4b2""}))"),"")</f>
        <v/>
      </c>
      <c r="AL15" s="46"/>
      <c r="AM15" s="47"/>
      <c r="AN15" s="170"/>
    </row>
    <row r="16" ht="17.25" customHeight="1">
      <c r="A16" s="121"/>
      <c r="B16" s="160"/>
      <c r="C16" s="161" t="b">
        <v>0</v>
      </c>
      <c r="D16" s="162" t="b">
        <v>0</v>
      </c>
      <c r="E16" s="162" t="b">
        <v>0</v>
      </c>
      <c r="F16" s="162" t="b">
        <v>0</v>
      </c>
      <c r="G16" s="162" t="b">
        <v>0</v>
      </c>
      <c r="H16" s="162" t="b">
        <v>0</v>
      </c>
      <c r="I16" s="162" t="b">
        <v>0</v>
      </c>
      <c r="J16" s="163" t="b">
        <v>0</v>
      </c>
      <c r="K16" s="163" t="b">
        <v>0</v>
      </c>
      <c r="L16" s="163" t="b">
        <v>0</v>
      </c>
      <c r="M16" s="163" t="b">
        <v>0</v>
      </c>
      <c r="N16" s="163" t="b">
        <v>0</v>
      </c>
      <c r="O16" s="163" t="b">
        <v>0</v>
      </c>
      <c r="P16" s="163" t="b">
        <v>0</v>
      </c>
      <c r="Q16" s="164" t="b">
        <v>0</v>
      </c>
      <c r="R16" s="164" t="b">
        <v>0</v>
      </c>
      <c r="S16" s="164" t="b">
        <v>0</v>
      </c>
      <c r="T16" s="164" t="b">
        <v>0</v>
      </c>
      <c r="U16" s="164" t="b">
        <v>0</v>
      </c>
      <c r="V16" s="164" t="b">
        <v>0</v>
      </c>
      <c r="W16" s="164" t="b">
        <v>0</v>
      </c>
      <c r="X16" s="165" t="b">
        <v>0</v>
      </c>
      <c r="Y16" s="165" t="b">
        <v>0</v>
      </c>
      <c r="Z16" s="165" t="b">
        <v>0</v>
      </c>
      <c r="AA16" s="165" t="b">
        <v>0</v>
      </c>
      <c r="AB16" s="165" t="b">
        <v>0</v>
      </c>
      <c r="AC16" s="165" t="b">
        <v>0</v>
      </c>
      <c r="AD16" s="165" t="b">
        <v>0</v>
      </c>
      <c r="AE16" s="166" t="b">
        <v>0</v>
      </c>
      <c r="AF16" s="166" t="b">
        <v>0</v>
      </c>
      <c r="AG16" s="166" t="b">
        <v>0</v>
      </c>
      <c r="AH16" s="149"/>
      <c r="AI16" s="167"/>
      <c r="AJ16" s="160">
        <v>0.0</v>
      </c>
      <c r="AK16" s="169" t="str">
        <f>IFERROR(__xludf.DUMMYFUNCTION("iferror(SPARKLINE(AJ16/AI16,{""charttype"",""bar"";""max"",1;""color1"",""#c9e4b2""}))"),"")</f>
        <v/>
      </c>
      <c r="AL16" s="46"/>
      <c r="AM16" s="47"/>
      <c r="AN16" s="170"/>
    </row>
    <row r="17" ht="17.25" customHeight="1">
      <c r="A17" s="121"/>
      <c r="B17" s="160"/>
      <c r="C17" s="161" t="b">
        <v>0</v>
      </c>
      <c r="D17" s="162" t="b">
        <v>0</v>
      </c>
      <c r="E17" s="162" t="b">
        <v>0</v>
      </c>
      <c r="F17" s="162" t="b">
        <v>0</v>
      </c>
      <c r="G17" s="162" t="b">
        <v>0</v>
      </c>
      <c r="H17" s="162" t="b">
        <v>0</v>
      </c>
      <c r="I17" s="162" t="b">
        <v>0</v>
      </c>
      <c r="J17" s="163" t="b">
        <v>0</v>
      </c>
      <c r="K17" s="163" t="b">
        <v>0</v>
      </c>
      <c r="L17" s="163" t="b">
        <v>0</v>
      </c>
      <c r="M17" s="163" t="b">
        <v>0</v>
      </c>
      <c r="N17" s="163" t="b">
        <v>0</v>
      </c>
      <c r="O17" s="163" t="b">
        <v>0</v>
      </c>
      <c r="P17" s="163" t="b">
        <v>0</v>
      </c>
      <c r="Q17" s="164" t="b">
        <v>0</v>
      </c>
      <c r="R17" s="164" t="b">
        <v>0</v>
      </c>
      <c r="S17" s="164" t="b">
        <v>0</v>
      </c>
      <c r="T17" s="164" t="b">
        <v>0</v>
      </c>
      <c r="U17" s="164" t="b">
        <v>0</v>
      </c>
      <c r="V17" s="164" t="b">
        <v>0</v>
      </c>
      <c r="W17" s="164" t="b">
        <v>0</v>
      </c>
      <c r="X17" s="165" t="b">
        <v>0</v>
      </c>
      <c r="Y17" s="165" t="b">
        <v>0</v>
      </c>
      <c r="Z17" s="165" t="b">
        <v>0</v>
      </c>
      <c r="AA17" s="165" t="b">
        <v>0</v>
      </c>
      <c r="AB17" s="165" t="b">
        <v>0</v>
      </c>
      <c r="AC17" s="165" t="b">
        <v>0</v>
      </c>
      <c r="AD17" s="165" t="b">
        <v>0</v>
      </c>
      <c r="AE17" s="166" t="b">
        <v>0</v>
      </c>
      <c r="AF17" s="166" t="b">
        <v>0</v>
      </c>
      <c r="AG17" s="166" t="b">
        <v>0</v>
      </c>
      <c r="AH17" s="149"/>
      <c r="AI17" s="167"/>
      <c r="AJ17" s="160">
        <v>0.0</v>
      </c>
      <c r="AK17" s="169" t="str">
        <f>IFERROR(__xludf.DUMMYFUNCTION("iferror(SPARKLINE(AJ17/AI17,{""charttype"",""bar"";""max"",1;""color1"",""#c9e4b2""}))"),"")</f>
        <v/>
      </c>
      <c r="AL17" s="46"/>
      <c r="AM17" s="47"/>
      <c r="AN17" s="170"/>
    </row>
    <row r="18" ht="17.25" customHeight="1">
      <c r="A18" s="121"/>
      <c r="B18" s="160"/>
      <c r="C18" s="161" t="b">
        <v>0</v>
      </c>
      <c r="D18" s="162" t="b">
        <v>0</v>
      </c>
      <c r="E18" s="162" t="b">
        <v>0</v>
      </c>
      <c r="F18" s="162" t="b">
        <v>0</v>
      </c>
      <c r="G18" s="162" t="b">
        <v>0</v>
      </c>
      <c r="H18" s="162" t="b">
        <v>0</v>
      </c>
      <c r="I18" s="162" t="b">
        <v>0</v>
      </c>
      <c r="J18" s="163" t="b">
        <v>0</v>
      </c>
      <c r="K18" s="163" t="b">
        <v>0</v>
      </c>
      <c r="L18" s="163" t="b">
        <v>0</v>
      </c>
      <c r="M18" s="163" t="b">
        <v>0</v>
      </c>
      <c r="N18" s="163" t="b">
        <v>0</v>
      </c>
      <c r="O18" s="163" t="b">
        <v>0</v>
      </c>
      <c r="P18" s="163" t="b">
        <v>0</v>
      </c>
      <c r="Q18" s="164" t="b">
        <v>0</v>
      </c>
      <c r="R18" s="164" t="b">
        <v>0</v>
      </c>
      <c r="S18" s="164" t="b">
        <v>0</v>
      </c>
      <c r="T18" s="164" t="b">
        <v>0</v>
      </c>
      <c r="U18" s="164" t="b">
        <v>0</v>
      </c>
      <c r="V18" s="164" t="b">
        <v>0</v>
      </c>
      <c r="W18" s="164" t="b">
        <v>0</v>
      </c>
      <c r="X18" s="165" t="b">
        <v>0</v>
      </c>
      <c r="Y18" s="165" t="b">
        <v>0</v>
      </c>
      <c r="Z18" s="165" t="b">
        <v>0</v>
      </c>
      <c r="AA18" s="165" t="b">
        <v>0</v>
      </c>
      <c r="AB18" s="165" t="b">
        <v>0</v>
      </c>
      <c r="AC18" s="165" t="b">
        <v>0</v>
      </c>
      <c r="AD18" s="165" t="b">
        <v>0</v>
      </c>
      <c r="AE18" s="166" t="b">
        <v>0</v>
      </c>
      <c r="AF18" s="166" t="b">
        <v>0</v>
      </c>
      <c r="AG18" s="166" t="b">
        <v>0</v>
      </c>
      <c r="AH18" s="149"/>
      <c r="AI18" s="167"/>
      <c r="AJ18" s="160">
        <v>0.0</v>
      </c>
      <c r="AK18" s="169" t="str">
        <f>IFERROR(__xludf.DUMMYFUNCTION("iferror(SPARKLINE(AJ18/AI18,{""charttype"",""bar"";""max"",1;""color1"",""#c9e4b2""}))"),"")</f>
        <v/>
      </c>
      <c r="AL18" s="46"/>
      <c r="AM18" s="47"/>
      <c r="AN18" s="170"/>
    </row>
    <row r="19" ht="17.25" customHeight="1">
      <c r="A19" s="121"/>
      <c r="B19" s="160"/>
      <c r="C19" s="161" t="b">
        <v>0</v>
      </c>
      <c r="D19" s="162" t="b">
        <v>0</v>
      </c>
      <c r="E19" s="162" t="b">
        <v>0</v>
      </c>
      <c r="F19" s="162" t="b">
        <v>0</v>
      </c>
      <c r="G19" s="162" t="b">
        <v>0</v>
      </c>
      <c r="H19" s="162" t="b">
        <v>0</v>
      </c>
      <c r="I19" s="162" t="b">
        <v>0</v>
      </c>
      <c r="J19" s="163" t="b">
        <v>0</v>
      </c>
      <c r="K19" s="163" t="b">
        <v>0</v>
      </c>
      <c r="L19" s="163" t="b">
        <v>0</v>
      </c>
      <c r="M19" s="163" t="b">
        <v>0</v>
      </c>
      <c r="N19" s="163" t="b">
        <v>0</v>
      </c>
      <c r="O19" s="163" t="b">
        <v>0</v>
      </c>
      <c r="P19" s="163" t="b">
        <v>0</v>
      </c>
      <c r="Q19" s="164" t="b">
        <v>0</v>
      </c>
      <c r="R19" s="164" t="b">
        <v>0</v>
      </c>
      <c r="S19" s="164" t="b">
        <v>0</v>
      </c>
      <c r="T19" s="164" t="b">
        <v>0</v>
      </c>
      <c r="U19" s="164" t="b">
        <v>0</v>
      </c>
      <c r="V19" s="164" t="b">
        <v>0</v>
      </c>
      <c r="W19" s="164" t="b">
        <v>0</v>
      </c>
      <c r="X19" s="165" t="b">
        <v>0</v>
      </c>
      <c r="Y19" s="165" t="b">
        <v>0</v>
      </c>
      <c r="Z19" s="165" t="b">
        <v>0</v>
      </c>
      <c r="AA19" s="165" t="b">
        <v>0</v>
      </c>
      <c r="AB19" s="165" t="b">
        <v>0</v>
      </c>
      <c r="AC19" s="165" t="b">
        <v>0</v>
      </c>
      <c r="AD19" s="165" t="b">
        <v>0</v>
      </c>
      <c r="AE19" s="166" t="b">
        <v>0</v>
      </c>
      <c r="AF19" s="166" t="b">
        <v>0</v>
      </c>
      <c r="AG19" s="166" t="b">
        <v>0</v>
      </c>
      <c r="AH19" s="149"/>
      <c r="AI19" s="167"/>
      <c r="AJ19" s="160">
        <v>0.0</v>
      </c>
      <c r="AK19" s="169" t="str">
        <f>IFERROR(__xludf.DUMMYFUNCTION("iferror(SPARKLINE(AJ19/AI19,{""charttype"",""bar"";""max"",1;""color1"",""#c9e4b2""}))"),"")</f>
        <v/>
      </c>
      <c r="AL19" s="46"/>
      <c r="AM19" s="47"/>
      <c r="AN19" s="170"/>
    </row>
    <row r="20" ht="17.25" customHeight="1">
      <c r="A20" s="121"/>
      <c r="B20" s="160"/>
      <c r="C20" s="161" t="b">
        <v>0</v>
      </c>
      <c r="D20" s="162" t="b">
        <v>0</v>
      </c>
      <c r="E20" s="162" t="b">
        <v>0</v>
      </c>
      <c r="F20" s="162" t="b">
        <v>0</v>
      </c>
      <c r="G20" s="162" t="b">
        <v>0</v>
      </c>
      <c r="H20" s="162" t="b">
        <v>0</v>
      </c>
      <c r="I20" s="162" t="b">
        <v>0</v>
      </c>
      <c r="J20" s="163" t="b">
        <v>0</v>
      </c>
      <c r="K20" s="163" t="b">
        <v>0</v>
      </c>
      <c r="L20" s="163" t="b">
        <v>0</v>
      </c>
      <c r="M20" s="163" t="b">
        <v>0</v>
      </c>
      <c r="N20" s="163" t="b">
        <v>0</v>
      </c>
      <c r="O20" s="163" t="b">
        <v>0</v>
      </c>
      <c r="P20" s="163" t="b">
        <v>0</v>
      </c>
      <c r="Q20" s="164" t="b">
        <v>0</v>
      </c>
      <c r="R20" s="164" t="b">
        <v>0</v>
      </c>
      <c r="S20" s="164" t="b">
        <v>0</v>
      </c>
      <c r="T20" s="164" t="b">
        <v>0</v>
      </c>
      <c r="U20" s="164" t="b">
        <v>0</v>
      </c>
      <c r="V20" s="164" t="b">
        <v>0</v>
      </c>
      <c r="W20" s="164" t="b">
        <v>0</v>
      </c>
      <c r="X20" s="165" t="b">
        <v>0</v>
      </c>
      <c r="Y20" s="165" t="b">
        <v>0</v>
      </c>
      <c r="Z20" s="165" t="b">
        <v>0</v>
      </c>
      <c r="AA20" s="165" t="b">
        <v>0</v>
      </c>
      <c r="AB20" s="165" t="b">
        <v>0</v>
      </c>
      <c r="AC20" s="165" t="b">
        <v>0</v>
      </c>
      <c r="AD20" s="165" t="b">
        <v>0</v>
      </c>
      <c r="AE20" s="166" t="b">
        <v>0</v>
      </c>
      <c r="AF20" s="166" t="b">
        <v>0</v>
      </c>
      <c r="AG20" s="166" t="b">
        <v>0</v>
      </c>
      <c r="AH20" s="149"/>
      <c r="AI20" s="167"/>
      <c r="AJ20" s="160">
        <v>0.0</v>
      </c>
      <c r="AK20" s="169" t="str">
        <f>IFERROR(__xludf.DUMMYFUNCTION("iferror(SPARKLINE(AJ20/AI20,{""charttype"",""bar"";""max"",1;""color1"",""#c9e4b2""}))"),"")</f>
        <v/>
      </c>
      <c r="AL20" s="46"/>
      <c r="AM20" s="47"/>
      <c r="AN20" s="170"/>
    </row>
    <row r="21" ht="17.25" customHeight="1">
      <c r="A21" s="121"/>
      <c r="B21" s="160"/>
      <c r="C21" s="171" t="b">
        <v>0</v>
      </c>
      <c r="D21" s="172" t="b">
        <v>0</v>
      </c>
      <c r="E21" s="172" t="b">
        <v>0</v>
      </c>
      <c r="F21" s="172" t="b">
        <v>0</v>
      </c>
      <c r="G21" s="172" t="b">
        <v>0</v>
      </c>
      <c r="H21" s="172" t="b">
        <v>0</v>
      </c>
      <c r="I21" s="172" t="b">
        <v>0</v>
      </c>
      <c r="J21" s="173" t="b">
        <v>0</v>
      </c>
      <c r="K21" s="173" t="b">
        <v>0</v>
      </c>
      <c r="L21" s="173" t="b">
        <v>0</v>
      </c>
      <c r="M21" s="173" t="b">
        <v>0</v>
      </c>
      <c r="N21" s="173" t="b">
        <v>0</v>
      </c>
      <c r="O21" s="173" t="b">
        <v>0</v>
      </c>
      <c r="P21" s="173" t="b">
        <v>0</v>
      </c>
      <c r="Q21" s="174" t="b">
        <v>0</v>
      </c>
      <c r="R21" s="174" t="b">
        <v>0</v>
      </c>
      <c r="S21" s="174" t="b">
        <v>0</v>
      </c>
      <c r="T21" s="174" t="b">
        <v>0</v>
      </c>
      <c r="U21" s="174" t="b">
        <v>0</v>
      </c>
      <c r="V21" s="174" t="b">
        <v>0</v>
      </c>
      <c r="W21" s="174" t="b">
        <v>0</v>
      </c>
      <c r="X21" s="175" t="b">
        <v>0</v>
      </c>
      <c r="Y21" s="175" t="b">
        <v>0</v>
      </c>
      <c r="Z21" s="175" t="b">
        <v>0</v>
      </c>
      <c r="AA21" s="175" t="b">
        <v>0</v>
      </c>
      <c r="AB21" s="175" t="b">
        <v>0</v>
      </c>
      <c r="AC21" s="175" t="b">
        <v>0</v>
      </c>
      <c r="AD21" s="175" t="b">
        <v>0</v>
      </c>
      <c r="AE21" s="176" t="b">
        <v>0</v>
      </c>
      <c r="AF21" s="176" t="b">
        <v>0</v>
      </c>
      <c r="AG21" s="176" t="b">
        <v>0</v>
      </c>
      <c r="AH21" s="149"/>
      <c r="AI21" s="167"/>
      <c r="AJ21" s="160">
        <v>0.0</v>
      </c>
      <c r="AK21" s="169" t="str">
        <f>IFERROR(__xludf.DUMMYFUNCTION("iferror(SPARKLINE(AJ21/AI21,{""charttype"",""bar"";""max"",1;""color1"",""#c9e4b2""}))"),"")</f>
        <v/>
      </c>
      <c r="AL21" s="46"/>
      <c r="AM21" s="47"/>
      <c r="AN21" s="170"/>
    </row>
    <row r="22" ht="17.25" customHeight="1">
      <c r="A22" s="121"/>
      <c r="B22" s="121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49"/>
      <c r="AK22" s="149"/>
      <c r="AL22" s="149"/>
      <c r="AM22" s="149"/>
      <c r="AN22" s="149"/>
    </row>
    <row r="23" ht="17.25" customHeight="1">
      <c r="A23" s="121"/>
      <c r="B23" s="219" t="s">
        <v>26</v>
      </c>
      <c r="C23" s="178">
        <f t="shared" ref="C23:AG23" si="1">COUNTIF(C10:C21, TRUE)/COUNTA(C10:C21)</f>
        <v>0</v>
      </c>
      <c r="D23" s="178">
        <f t="shared" si="1"/>
        <v>0</v>
      </c>
      <c r="E23" s="178">
        <f t="shared" si="1"/>
        <v>0</v>
      </c>
      <c r="F23" s="178">
        <f t="shared" si="1"/>
        <v>0</v>
      </c>
      <c r="G23" s="178">
        <f t="shared" si="1"/>
        <v>0</v>
      </c>
      <c r="H23" s="178">
        <f t="shared" si="1"/>
        <v>0</v>
      </c>
      <c r="I23" s="178">
        <f t="shared" si="1"/>
        <v>0</v>
      </c>
      <c r="J23" s="178">
        <f t="shared" si="1"/>
        <v>0</v>
      </c>
      <c r="K23" s="178">
        <f t="shared" si="1"/>
        <v>0</v>
      </c>
      <c r="L23" s="178">
        <f t="shared" si="1"/>
        <v>0</v>
      </c>
      <c r="M23" s="178">
        <f t="shared" si="1"/>
        <v>0</v>
      </c>
      <c r="N23" s="178">
        <f t="shared" si="1"/>
        <v>0</v>
      </c>
      <c r="O23" s="178">
        <f t="shared" si="1"/>
        <v>0</v>
      </c>
      <c r="P23" s="178">
        <f t="shared" si="1"/>
        <v>0</v>
      </c>
      <c r="Q23" s="178">
        <f t="shared" si="1"/>
        <v>0</v>
      </c>
      <c r="R23" s="178">
        <f t="shared" si="1"/>
        <v>0</v>
      </c>
      <c r="S23" s="178">
        <f t="shared" si="1"/>
        <v>0</v>
      </c>
      <c r="T23" s="178">
        <f t="shared" si="1"/>
        <v>0</v>
      </c>
      <c r="U23" s="178">
        <f t="shared" si="1"/>
        <v>0</v>
      </c>
      <c r="V23" s="178">
        <f t="shared" si="1"/>
        <v>0</v>
      </c>
      <c r="W23" s="178">
        <f t="shared" si="1"/>
        <v>0</v>
      </c>
      <c r="X23" s="178">
        <f t="shared" si="1"/>
        <v>0</v>
      </c>
      <c r="Y23" s="178">
        <f t="shared" si="1"/>
        <v>0</v>
      </c>
      <c r="Z23" s="178">
        <f t="shared" si="1"/>
        <v>0</v>
      </c>
      <c r="AA23" s="178">
        <f t="shared" si="1"/>
        <v>0</v>
      </c>
      <c r="AB23" s="178">
        <f t="shared" si="1"/>
        <v>0</v>
      </c>
      <c r="AC23" s="178">
        <f t="shared" si="1"/>
        <v>0</v>
      </c>
      <c r="AD23" s="178">
        <f t="shared" si="1"/>
        <v>0</v>
      </c>
      <c r="AE23" s="178">
        <f t="shared" si="1"/>
        <v>0</v>
      </c>
      <c r="AF23" s="178">
        <f t="shared" si="1"/>
        <v>0</v>
      </c>
      <c r="AG23" s="178">
        <f t="shared" si="1"/>
        <v>0</v>
      </c>
      <c r="AH23" s="149"/>
      <c r="AI23" s="179"/>
      <c r="AJ23" s="180"/>
      <c r="AK23" s="149"/>
      <c r="AL23" s="149"/>
      <c r="AM23" s="149"/>
      <c r="AN23" s="149"/>
    </row>
    <row r="24" ht="17.25" customHeight="1">
      <c r="A24" s="121"/>
      <c r="B24" s="219" t="s">
        <v>51</v>
      </c>
      <c r="C24" s="181">
        <f t="shared" ref="C24:AG24" si="2">COUNTIF(C10:C21, true)</f>
        <v>0</v>
      </c>
      <c r="D24" s="181">
        <f t="shared" si="2"/>
        <v>0</v>
      </c>
      <c r="E24" s="181">
        <f t="shared" si="2"/>
        <v>0</v>
      </c>
      <c r="F24" s="181">
        <f t="shared" si="2"/>
        <v>0</v>
      </c>
      <c r="G24" s="181">
        <f t="shared" si="2"/>
        <v>0</v>
      </c>
      <c r="H24" s="181">
        <f t="shared" si="2"/>
        <v>0</v>
      </c>
      <c r="I24" s="181">
        <f t="shared" si="2"/>
        <v>0</v>
      </c>
      <c r="J24" s="181">
        <f t="shared" si="2"/>
        <v>0</v>
      </c>
      <c r="K24" s="181">
        <f t="shared" si="2"/>
        <v>0</v>
      </c>
      <c r="L24" s="181">
        <f t="shared" si="2"/>
        <v>0</v>
      </c>
      <c r="M24" s="181">
        <f t="shared" si="2"/>
        <v>0</v>
      </c>
      <c r="N24" s="181">
        <f t="shared" si="2"/>
        <v>0</v>
      </c>
      <c r="O24" s="181">
        <f t="shared" si="2"/>
        <v>0</v>
      </c>
      <c r="P24" s="181">
        <f t="shared" si="2"/>
        <v>0</v>
      </c>
      <c r="Q24" s="181">
        <f t="shared" si="2"/>
        <v>0</v>
      </c>
      <c r="R24" s="181">
        <f t="shared" si="2"/>
        <v>0</v>
      </c>
      <c r="S24" s="181">
        <f t="shared" si="2"/>
        <v>0</v>
      </c>
      <c r="T24" s="181">
        <f t="shared" si="2"/>
        <v>0</v>
      </c>
      <c r="U24" s="181">
        <f t="shared" si="2"/>
        <v>0</v>
      </c>
      <c r="V24" s="181">
        <f t="shared" si="2"/>
        <v>0</v>
      </c>
      <c r="W24" s="181">
        <f t="shared" si="2"/>
        <v>0</v>
      </c>
      <c r="X24" s="181">
        <f t="shared" si="2"/>
        <v>0</v>
      </c>
      <c r="Y24" s="181">
        <f t="shared" si="2"/>
        <v>0</v>
      </c>
      <c r="Z24" s="181">
        <f t="shared" si="2"/>
        <v>0</v>
      </c>
      <c r="AA24" s="181">
        <f t="shared" si="2"/>
        <v>0</v>
      </c>
      <c r="AB24" s="181">
        <f t="shared" si="2"/>
        <v>0</v>
      </c>
      <c r="AC24" s="181">
        <f t="shared" si="2"/>
        <v>0</v>
      </c>
      <c r="AD24" s="181">
        <f t="shared" si="2"/>
        <v>0</v>
      </c>
      <c r="AE24" s="181">
        <f t="shared" si="2"/>
        <v>0</v>
      </c>
      <c r="AF24" s="181">
        <f t="shared" si="2"/>
        <v>0</v>
      </c>
      <c r="AG24" s="181">
        <f t="shared" si="2"/>
        <v>0</v>
      </c>
      <c r="AH24" s="149"/>
      <c r="AI24" s="179"/>
      <c r="AJ24" s="180"/>
      <c r="AK24" s="149"/>
      <c r="AL24" s="149"/>
      <c r="AM24" s="149"/>
      <c r="AN24" s="149"/>
    </row>
    <row r="25" ht="17.25" customHeight="1">
      <c r="A25" s="121"/>
      <c r="B25" s="219" t="s">
        <v>52</v>
      </c>
      <c r="C25" s="182">
        <f t="shared" ref="C25:AG25" si="3">COUNTIF(C10:C21, false)</f>
        <v>12</v>
      </c>
      <c r="D25" s="182">
        <f t="shared" si="3"/>
        <v>12</v>
      </c>
      <c r="E25" s="182">
        <f t="shared" si="3"/>
        <v>12</v>
      </c>
      <c r="F25" s="182">
        <f t="shared" si="3"/>
        <v>12</v>
      </c>
      <c r="G25" s="182">
        <f t="shared" si="3"/>
        <v>12</v>
      </c>
      <c r="H25" s="182">
        <f t="shared" si="3"/>
        <v>12</v>
      </c>
      <c r="I25" s="182">
        <f t="shared" si="3"/>
        <v>12</v>
      </c>
      <c r="J25" s="182">
        <f t="shared" si="3"/>
        <v>12</v>
      </c>
      <c r="K25" s="182">
        <f t="shared" si="3"/>
        <v>12</v>
      </c>
      <c r="L25" s="182">
        <f t="shared" si="3"/>
        <v>12</v>
      </c>
      <c r="M25" s="182">
        <f t="shared" si="3"/>
        <v>12</v>
      </c>
      <c r="N25" s="182">
        <f t="shared" si="3"/>
        <v>12</v>
      </c>
      <c r="O25" s="182">
        <f t="shared" si="3"/>
        <v>12</v>
      </c>
      <c r="P25" s="182">
        <f t="shared" si="3"/>
        <v>12</v>
      </c>
      <c r="Q25" s="182">
        <f t="shared" si="3"/>
        <v>12</v>
      </c>
      <c r="R25" s="182">
        <f t="shared" si="3"/>
        <v>12</v>
      </c>
      <c r="S25" s="182">
        <f t="shared" si="3"/>
        <v>12</v>
      </c>
      <c r="T25" s="182">
        <f t="shared" si="3"/>
        <v>12</v>
      </c>
      <c r="U25" s="182">
        <f t="shared" si="3"/>
        <v>12</v>
      </c>
      <c r="V25" s="182">
        <f t="shared" si="3"/>
        <v>12</v>
      </c>
      <c r="W25" s="182">
        <f t="shared" si="3"/>
        <v>12</v>
      </c>
      <c r="X25" s="182">
        <f t="shared" si="3"/>
        <v>12</v>
      </c>
      <c r="Y25" s="182">
        <f t="shared" si="3"/>
        <v>12</v>
      </c>
      <c r="Z25" s="182">
        <f t="shared" si="3"/>
        <v>12</v>
      </c>
      <c r="AA25" s="182">
        <f t="shared" si="3"/>
        <v>12</v>
      </c>
      <c r="AB25" s="182">
        <f t="shared" si="3"/>
        <v>12</v>
      </c>
      <c r="AC25" s="182">
        <f t="shared" si="3"/>
        <v>12</v>
      </c>
      <c r="AD25" s="182">
        <f t="shared" si="3"/>
        <v>12</v>
      </c>
      <c r="AE25" s="182">
        <f t="shared" si="3"/>
        <v>12</v>
      </c>
      <c r="AF25" s="182">
        <f t="shared" si="3"/>
        <v>12</v>
      </c>
      <c r="AG25" s="182">
        <f t="shared" si="3"/>
        <v>12</v>
      </c>
      <c r="AH25" s="149"/>
      <c r="AI25" s="179"/>
      <c r="AJ25" s="180"/>
      <c r="AK25" s="149"/>
      <c r="AL25" s="149"/>
      <c r="AM25" s="149"/>
      <c r="AN25" s="149"/>
    </row>
    <row r="26" ht="17.25" customHeight="1">
      <c r="A26" s="121"/>
      <c r="B26" s="121"/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  <c r="AA26" s="149"/>
      <c r="AB26" s="149"/>
      <c r="AC26" s="149"/>
      <c r="AD26" s="149"/>
      <c r="AE26" s="149"/>
      <c r="AF26" s="149"/>
      <c r="AG26" s="149"/>
      <c r="AH26" s="149"/>
      <c r="AI26" s="179"/>
      <c r="AJ26" s="180"/>
      <c r="AK26" s="149"/>
      <c r="AL26" s="149"/>
      <c r="AM26" s="149"/>
      <c r="AN26" s="149"/>
    </row>
    <row r="27" ht="17.25" customHeight="1">
      <c r="A27" s="121"/>
      <c r="B27" s="121"/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  <c r="AA27" s="149"/>
      <c r="AB27" s="149"/>
      <c r="AC27" s="149"/>
      <c r="AD27" s="149"/>
      <c r="AE27" s="149"/>
      <c r="AF27" s="149"/>
      <c r="AG27" s="149"/>
      <c r="AH27" s="149"/>
      <c r="AI27" s="179"/>
      <c r="AJ27" s="180"/>
      <c r="AK27" s="149"/>
      <c r="AL27" s="149"/>
      <c r="AM27" s="149"/>
      <c r="AN27" s="149"/>
    </row>
    <row r="28" ht="17.25" customHeight="1">
      <c r="A28" s="121"/>
      <c r="B28" s="121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  <c r="AB28" s="149"/>
      <c r="AC28" s="149"/>
      <c r="AD28" s="149"/>
      <c r="AE28" s="149"/>
      <c r="AF28" s="149"/>
      <c r="AG28" s="149"/>
      <c r="AH28" s="149"/>
      <c r="AI28" s="179"/>
      <c r="AJ28" s="180"/>
      <c r="AK28" s="149"/>
      <c r="AL28" s="149"/>
      <c r="AM28" s="149"/>
      <c r="AN28" s="149"/>
    </row>
    <row r="29" ht="17.25" customHeight="1">
      <c r="A29" s="121"/>
      <c r="B29" s="121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79"/>
      <c r="AJ29" s="180"/>
      <c r="AK29" s="149"/>
      <c r="AL29" s="149"/>
      <c r="AM29" s="149"/>
      <c r="AN29" s="149"/>
    </row>
    <row r="30" ht="17.25" customHeight="1">
      <c r="A30" s="121"/>
      <c r="B30" s="121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49"/>
      <c r="AE30" s="149"/>
      <c r="AF30" s="149"/>
      <c r="AG30" s="149"/>
      <c r="AH30" s="149"/>
      <c r="AI30" s="179"/>
      <c r="AJ30" s="180"/>
      <c r="AK30" s="149"/>
      <c r="AL30" s="149"/>
      <c r="AM30" s="149"/>
      <c r="AN30" s="149"/>
    </row>
    <row r="31" ht="17.25" customHeight="1">
      <c r="A31" s="121"/>
      <c r="B31" s="121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  <c r="AI31" s="179"/>
      <c r="AJ31" s="180"/>
      <c r="AK31" s="149"/>
      <c r="AL31" s="149"/>
      <c r="AM31" s="149"/>
      <c r="AN31" s="149"/>
    </row>
    <row r="32" ht="17.25" customHeight="1">
      <c r="A32" s="121"/>
      <c r="B32" s="121"/>
      <c r="C32" s="149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79"/>
      <c r="AJ32" s="180"/>
      <c r="AK32" s="149"/>
      <c r="AL32" s="149"/>
      <c r="AM32" s="149"/>
      <c r="AN32" s="149"/>
    </row>
    <row r="33" ht="17.25" customHeight="1">
      <c r="A33" s="121"/>
      <c r="B33" s="121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149"/>
      <c r="AG33" s="149"/>
      <c r="AH33" s="149"/>
      <c r="AI33" s="179"/>
      <c r="AJ33" s="180"/>
      <c r="AK33" s="149"/>
      <c r="AL33" s="149"/>
      <c r="AM33" s="149"/>
      <c r="AN33" s="149"/>
    </row>
    <row r="34" ht="17.25" customHeight="1">
      <c r="A34" s="121"/>
      <c r="B34" s="121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  <c r="AC34" s="149"/>
      <c r="AD34" s="149"/>
      <c r="AE34" s="149"/>
      <c r="AF34" s="149"/>
      <c r="AG34" s="149"/>
      <c r="AH34" s="149"/>
      <c r="AI34" s="179"/>
      <c r="AJ34" s="180"/>
      <c r="AK34" s="149"/>
      <c r="AL34" s="149"/>
      <c r="AM34" s="149"/>
      <c r="AN34" s="149"/>
    </row>
    <row r="35" ht="17.25" customHeight="1">
      <c r="A35" s="121"/>
      <c r="B35" s="121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149"/>
      <c r="AE35" s="149"/>
      <c r="AF35" s="149"/>
      <c r="AG35" s="149"/>
      <c r="AH35" s="149"/>
      <c r="AI35" s="183"/>
      <c r="AJ35" s="183"/>
      <c r="AK35" s="149"/>
      <c r="AL35" s="149"/>
      <c r="AM35" s="149"/>
      <c r="AN35" s="149"/>
    </row>
    <row r="36" ht="17.25" customHeight="1">
      <c r="A36" s="121"/>
      <c r="B36" s="184" t="s">
        <v>53</v>
      </c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7"/>
      <c r="AH36" s="149"/>
      <c r="AI36" s="184" t="s">
        <v>54</v>
      </c>
      <c r="AJ36" s="46"/>
      <c r="AK36" s="46"/>
      <c r="AL36" s="46"/>
      <c r="AM36" s="47"/>
      <c r="AN36" s="149"/>
    </row>
    <row r="37" ht="17.25" customHeight="1">
      <c r="A37" s="121"/>
      <c r="B37" s="185" t="s">
        <v>55</v>
      </c>
      <c r="C37" s="186">
        <v>10.0</v>
      </c>
      <c r="D37" s="186"/>
      <c r="E37" s="186"/>
      <c r="F37" s="186"/>
      <c r="G37" s="186"/>
      <c r="H37" s="186"/>
      <c r="I37" s="186"/>
      <c r="J37" s="186"/>
      <c r="K37" s="186"/>
      <c r="L37" s="186"/>
      <c r="M37" s="186"/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  <c r="AA37" s="186"/>
      <c r="AB37" s="186"/>
      <c r="AC37" s="186"/>
      <c r="AD37" s="186"/>
      <c r="AE37" s="186"/>
      <c r="AF37" s="186"/>
      <c r="AG37" s="186"/>
      <c r="AH37" s="149"/>
      <c r="AI37" s="187">
        <f t="shared" ref="AI37:AI39" si="4">iferror(Average(C37:AG37), "")</f>
        <v>10</v>
      </c>
      <c r="AJ37" s="46"/>
      <c r="AK37" s="46"/>
      <c r="AL37" s="46"/>
      <c r="AM37" s="47"/>
      <c r="AN37" s="149"/>
    </row>
    <row r="38" ht="17.25" customHeight="1">
      <c r="A38" s="121"/>
      <c r="B38" s="185" t="s">
        <v>56</v>
      </c>
      <c r="C38" s="188"/>
      <c r="D38" s="188">
        <v>8.0</v>
      </c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88"/>
      <c r="P38" s="188"/>
      <c r="Q38" s="188"/>
      <c r="R38" s="188"/>
      <c r="S38" s="188"/>
      <c r="T38" s="188"/>
      <c r="U38" s="188"/>
      <c r="V38" s="188"/>
      <c r="W38" s="188"/>
      <c r="X38" s="188"/>
      <c r="Y38" s="188"/>
      <c r="Z38" s="188"/>
      <c r="AA38" s="188"/>
      <c r="AB38" s="188"/>
      <c r="AC38" s="188"/>
      <c r="AD38" s="188"/>
      <c r="AE38" s="188"/>
      <c r="AF38" s="188"/>
      <c r="AG38" s="188"/>
      <c r="AH38" s="149"/>
      <c r="AI38" s="187">
        <f t="shared" si="4"/>
        <v>8</v>
      </c>
      <c r="AJ38" s="46"/>
      <c r="AK38" s="46"/>
      <c r="AL38" s="46"/>
      <c r="AM38" s="47"/>
      <c r="AN38" s="149"/>
    </row>
    <row r="39" ht="17.25" customHeight="1">
      <c r="A39" s="121"/>
      <c r="B39" s="185" t="s">
        <v>63</v>
      </c>
      <c r="C39" s="189"/>
      <c r="D39" s="189"/>
      <c r="E39" s="189"/>
      <c r="F39" s="189"/>
      <c r="G39" s="189"/>
      <c r="H39" s="189"/>
      <c r="I39" s="189"/>
      <c r="J39" s="189"/>
      <c r="K39" s="189"/>
      <c r="L39" s="189"/>
      <c r="M39" s="189"/>
      <c r="N39" s="189"/>
      <c r="O39" s="189"/>
      <c r="P39" s="189"/>
      <c r="Q39" s="189"/>
      <c r="R39" s="189"/>
      <c r="S39" s="189"/>
      <c r="T39" s="189"/>
      <c r="U39" s="189"/>
      <c r="V39" s="189"/>
      <c r="W39" s="189"/>
      <c r="X39" s="189"/>
      <c r="Y39" s="189"/>
      <c r="Z39" s="189"/>
      <c r="AA39" s="189"/>
      <c r="AB39" s="189"/>
      <c r="AC39" s="189"/>
      <c r="AD39" s="189"/>
      <c r="AE39" s="189"/>
      <c r="AF39" s="189"/>
      <c r="AG39" s="189"/>
      <c r="AH39" s="149"/>
      <c r="AI39" s="187" t="str">
        <f t="shared" si="4"/>
        <v/>
      </c>
      <c r="AJ39" s="46"/>
      <c r="AK39" s="46"/>
      <c r="AL39" s="46"/>
      <c r="AM39" s="47"/>
      <c r="AN39" s="149"/>
    </row>
    <row r="40" ht="17.25" customHeight="1">
      <c r="A40" s="121"/>
      <c r="B40" s="121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  <c r="AK40" s="149"/>
      <c r="AL40" s="149"/>
      <c r="AM40" s="149"/>
      <c r="AN40" s="149"/>
    </row>
    <row r="41" ht="17.25" customHeight="1">
      <c r="A41" s="121"/>
      <c r="B41" s="121"/>
      <c r="C41" s="149"/>
      <c r="D41" s="149"/>
      <c r="E41" s="149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  <c r="AB41" s="149"/>
      <c r="AC41" s="149"/>
      <c r="AD41" s="149"/>
      <c r="AE41" s="149"/>
      <c r="AF41" s="149"/>
      <c r="AG41" s="149"/>
      <c r="AH41" s="149"/>
      <c r="AI41" s="149"/>
      <c r="AJ41" s="149"/>
      <c r="AK41" s="149"/>
      <c r="AL41" s="149"/>
      <c r="AM41" s="149"/>
      <c r="AN41" s="149"/>
    </row>
    <row r="42" ht="17.25" customHeight="1">
      <c r="A42" s="121"/>
      <c r="B42" s="136" t="s">
        <v>58</v>
      </c>
      <c r="C42" s="190" t="s">
        <v>44</v>
      </c>
      <c r="D42" s="46"/>
      <c r="E42" s="46"/>
      <c r="F42" s="46"/>
      <c r="G42" s="46"/>
      <c r="H42" s="47"/>
      <c r="I42" s="151"/>
      <c r="J42" s="191" t="s">
        <v>45</v>
      </c>
      <c r="K42" s="46"/>
      <c r="L42" s="46"/>
      <c r="M42" s="46"/>
      <c r="N42" s="46"/>
      <c r="O42" s="47"/>
      <c r="P42" s="152"/>
      <c r="Q42" s="192" t="s">
        <v>46</v>
      </c>
      <c r="R42" s="46"/>
      <c r="S42" s="46"/>
      <c r="T42" s="46"/>
      <c r="U42" s="46"/>
      <c r="V42" s="47"/>
      <c r="W42" s="154"/>
      <c r="X42" s="193" t="s">
        <v>47</v>
      </c>
      <c r="Y42" s="46"/>
      <c r="Z42" s="46"/>
      <c r="AA42" s="46"/>
      <c r="AB42" s="46"/>
      <c r="AC42" s="47"/>
      <c r="AD42" s="153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</row>
    <row r="43" ht="17.25" customHeight="1">
      <c r="A43" s="121"/>
      <c r="B43" s="86"/>
      <c r="C43" s="194"/>
      <c r="D43" s="46"/>
      <c r="E43" s="46"/>
      <c r="F43" s="46"/>
      <c r="G43" s="46"/>
      <c r="H43" s="47"/>
      <c r="I43" s="195" t="b">
        <v>0</v>
      </c>
      <c r="J43" s="196"/>
      <c r="K43" s="46"/>
      <c r="L43" s="46"/>
      <c r="M43" s="46"/>
      <c r="N43" s="46"/>
      <c r="O43" s="47"/>
      <c r="P43" s="197" t="b">
        <v>0</v>
      </c>
      <c r="Q43" s="198"/>
      <c r="R43" s="46"/>
      <c r="S43" s="46"/>
      <c r="T43" s="46"/>
      <c r="U43" s="46"/>
      <c r="V43" s="47"/>
      <c r="W43" s="199" t="b">
        <v>0</v>
      </c>
      <c r="X43" s="200"/>
      <c r="Y43" s="46"/>
      <c r="Z43" s="46"/>
      <c r="AA43" s="46"/>
      <c r="AB43" s="46"/>
      <c r="AC43" s="47"/>
      <c r="AD43" s="201" t="b">
        <v>0</v>
      </c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</row>
    <row r="44" ht="17.25" customHeight="1">
      <c r="A44" s="121"/>
      <c r="B44" s="121"/>
      <c r="C44" s="194"/>
      <c r="D44" s="46"/>
      <c r="E44" s="46"/>
      <c r="F44" s="46"/>
      <c r="G44" s="46"/>
      <c r="H44" s="47"/>
      <c r="I44" s="195" t="b">
        <v>0</v>
      </c>
      <c r="J44" s="196"/>
      <c r="K44" s="46"/>
      <c r="L44" s="46"/>
      <c r="M44" s="46"/>
      <c r="N44" s="46"/>
      <c r="O44" s="47"/>
      <c r="P44" s="197" t="b">
        <v>0</v>
      </c>
      <c r="Q44" s="198"/>
      <c r="R44" s="46"/>
      <c r="S44" s="46"/>
      <c r="T44" s="46"/>
      <c r="U44" s="46"/>
      <c r="V44" s="47"/>
      <c r="W44" s="199" t="b">
        <v>0</v>
      </c>
      <c r="X44" s="200"/>
      <c r="Y44" s="46"/>
      <c r="Z44" s="46"/>
      <c r="AA44" s="46"/>
      <c r="AB44" s="46"/>
      <c r="AC44" s="47"/>
      <c r="AD44" s="201" t="b">
        <v>0</v>
      </c>
      <c r="AE44" s="121"/>
      <c r="AF44" s="121"/>
      <c r="AG44" s="202" t="s">
        <v>59</v>
      </c>
      <c r="AH44" s="121"/>
      <c r="AI44" s="121"/>
      <c r="AJ44" s="121"/>
      <c r="AK44" s="121"/>
      <c r="AL44" s="121"/>
      <c r="AM44" s="121"/>
      <c r="AN44" s="121"/>
    </row>
    <row r="45" ht="17.25" customHeight="1">
      <c r="A45" s="121"/>
      <c r="B45" s="121"/>
      <c r="C45" s="194"/>
      <c r="D45" s="46"/>
      <c r="E45" s="46"/>
      <c r="F45" s="46"/>
      <c r="G45" s="46"/>
      <c r="H45" s="47"/>
      <c r="I45" s="195" t="b">
        <v>0</v>
      </c>
      <c r="J45" s="196"/>
      <c r="K45" s="46"/>
      <c r="L45" s="46"/>
      <c r="M45" s="46"/>
      <c r="N45" s="46"/>
      <c r="O45" s="47"/>
      <c r="P45" s="197" t="b">
        <v>0</v>
      </c>
      <c r="Q45" s="198"/>
      <c r="R45" s="46"/>
      <c r="S45" s="46"/>
      <c r="T45" s="46"/>
      <c r="U45" s="46"/>
      <c r="V45" s="47"/>
      <c r="W45" s="199" t="b">
        <v>0</v>
      </c>
      <c r="X45" s="200"/>
      <c r="Y45" s="46"/>
      <c r="Z45" s="46"/>
      <c r="AA45" s="46"/>
      <c r="AB45" s="46"/>
      <c r="AC45" s="47"/>
      <c r="AD45" s="201" t="b">
        <v>0</v>
      </c>
      <c r="AE45" s="121"/>
      <c r="AF45" s="121"/>
      <c r="AG45" s="203">
        <v>6.0</v>
      </c>
      <c r="AH45" s="120"/>
      <c r="AI45" s="120"/>
      <c r="AJ45" s="120"/>
      <c r="AK45" s="120"/>
      <c r="AL45" s="120"/>
      <c r="AM45" s="120"/>
      <c r="AN45" s="120"/>
    </row>
    <row r="46" ht="17.25" customHeight="1">
      <c r="A46" s="121"/>
      <c r="B46" s="121"/>
      <c r="C46" s="194"/>
      <c r="D46" s="46"/>
      <c r="E46" s="46"/>
      <c r="F46" s="46"/>
      <c r="G46" s="46"/>
      <c r="H46" s="47"/>
      <c r="I46" s="195" t="b">
        <v>0</v>
      </c>
      <c r="J46" s="196"/>
      <c r="K46" s="46"/>
      <c r="L46" s="46"/>
      <c r="M46" s="46"/>
      <c r="N46" s="46"/>
      <c r="O46" s="47"/>
      <c r="P46" s="197" t="b">
        <v>0</v>
      </c>
      <c r="Q46" s="198"/>
      <c r="R46" s="46"/>
      <c r="S46" s="46"/>
      <c r="T46" s="46"/>
      <c r="U46" s="46"/>
      <c r="V46" s="47"/>
      <c r="W46" s="199" t="b">
        <v>0</v>
      </c>
      <c r="X46" s="200"/>
      <c r="Y46" s="46"/>
      <c r="Z46" s="46"/>
      <c r="AA46" s="46"/>
      <c r="AB46" s="46"/>
      <c r="AC46" s="47"/>
      <c r="AD46" s="201" t="b">
        <v>0</v>
      </c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</row>
    <row r="47" ht="17.25" customHeight="1">
      <c r="A47" s="121"/>
      <c r="B47" s="121"/>
      <c r="C47" s="194"/>
      <c r="D47" s="46"/>
      <c r="E47" s="46"/>
      <c r="F47" s="46"/>
      <c r="G47" s="46"/>
      <c r="H47" s="47"/>
      <c r="I47" s="195" t="b">
        <v>0</v>
      </c>
      <c r="J47" s="196"/>
      <c r="K47" s="46"/>
      <c r="L47" s="46"/>
      <c r="M47" s="46"/>
      <c r="N47" s="46"/>
      <c r="O47" s="47"/>
      <c r="P47" s="197" t="b">
        <v>0</v>
      </c>
      <c r="Q47" s="198"/>
      <c r="R47" s="46"/>
      <c r="S47" s="46"/>
      <c r="T47" s="46"/>
      <c r="U47" s="46"/>
      <c r="V47" s="47"/>
      <c r="W47" s="199" t="b">
        <v>0</v>
      </c>
      <c r="X47" s="200"/>
      <c r="Y47" s="46"/>
      <c r="Z47" s="46"/>
      <c r="AA47" s="46"/>
      <c r="AB47" s="46"/>
      <c r="AC47" s="47"/>
      <c r="AD47" s="201" t="b">
        <v>0</v>
      </c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</row>
    <row r="48" ht="17.25" customHeight="1">
      <c r="A48" s="121"/>
      <c r="B48" s="121"/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</row>
    <row r="49" ht="17.25" customHeight="1">
      <c r="A49" s="121"/>
      <c r="B49" s="136" t="s">
        <v>60</v>
      </c>
      <c r="C49" s="204"/>
      <c r="D49" s="50"/>
      <c r="E49" s="50"/>
      <c r="F49" s="50"/>
      <c r="G49" s="50"/>
      <c r="H49" s="50"/>
      <c r="I49" s="51"/>
      <c r="J49" s="204"/>
      <c r="K49" s="50"/>
      <c r="L49" s="50"/>
      <c r="M49" s="50"/>
      <c r="N49" s="50"/>
      <c r="O49" s="50"/>
      <c r="P49" s="51"/>
      <c r="Q49" s="204"/>
      <c r="R49" s="50"/>
      <c r="S49" s="50"/>
      <c r="T49" s="50"/>
      <c r="U49" s="50"/>
      <c r="V49" s="50"/>
      <c r="W49" s="51"/>
      <c r="X49" s="204"/>
      <c r="Y49" s="50"/>
      <c r="Z49" s="50"/>
      <c r="AA49" s="50"/>
      <c r="AB49" s="50"/>
      <c r="AC49" s="50"/>
      <c r="AD49" s="5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</row>
    <row r="50" ht="17.25" customHeight="1">
      <c r="A50" s="121"/>
      <c r="B50" s="205"/>
      <c r="C50" s="206"/>
      <c r="D50" s="55"/>
      <c r="E50" s="55"/>
      <c r="F50" s="55"/>
      <c r="G50" s="55"/>
      <c r="H50" s="55"/>
      <c r="I50" s="56"/>
      <c r="J50" s="206"/>
      <c r="K50" s="55"/>
      <c r="L50" s="55"/>
      <c r="M50" s="55"/>
      <c r="N50" s="55"/>
      <c r="O50" s="55"/>
      <c r="P50" s="56"/>
      <c r="Q50" s="206"/>
      <c r="R50" s="55"/>
      <c r="S50" s="55"/>
      <c r="T50" s="55"/>
      <c r="U50" s="55"/>
      <c r="V50" s="55"/>
      <c r="W50" s="56"/>
      <c r="X50" s="206"/>
      <c r="Y50" s="55"/>
      <c r="Z50" s="55"/>
      <c r="AA50" s="55"/>
      <c r="AB50" s="55"/>
      <c r="AC50" s="55"/>
      <c r="AD50" s="56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</row>
    <row r="51" ht="17.25" customHeight="1">
      <c r="A51" s="121"/>
      <c r="B51" s="86"/>
      <c r="C51" s="207"/>
      <c r="D51" s="60"/>
      <c r="E51" s="60"/>
      <c r="F51" s="60"/>
      <c r="G51" s="60"/>
      <c r="H51" s="60"/>
      <c r="I51" s="61"/>
      <c r="J51" s="207"/>
      <c r="K51" s="60"/>
      <c r="L51" s="60"/>
      <c r="M51" s="60"/>
      <c r="N51" s="60"/>
      <c r="O51" s="60"/>
      <c r="P51" s="61"/>
      <c r="Q51" s="207"/>
      <c r="R51" s="60"/>
      <c r="S51" s="60"/>
      <c r="T51" s="60"/>
      <c r="U51" s="60"/>
      <c r="V51" s="60"/>
      <c r="W51" s="61"/>
      <c r="X51" s="207"/>
      <c r="Y51" s="60"/>
      <c r="Z51" s="60"/>
      <c r="AA51" s="60"/>
      <c r="AB51" s="60"/>
      <c r="AC51" s="60"/>
      <c r="AD51" s="6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</row>
    <row r="52" ht="17.25" customHeight="1">
      <c r="A52" s="121"/>
      <c r="B52" s="121"/>
      <c r="C52" s="208"/>
      <c r="I52" s="170"/>
      <c r="J52" s="208"/>
      <c r="P52" s="170"/>
      <c r="Q52" s="208"/>
      <c r="W52" s="170"/>
      <c r="X52" s="208"/>
      <c r="AD52" s="170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</row>
    <row r="53" ht="17.25" customHeight="1">
      <c r="A53" s="121"/>
      <c r="B53" s="121"/>
      <c r="C53" s="121"/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</row>
    <row r="54" ht="17.25" customHeight="1">
      <c r="A54" s="121"/>
      <c r="B54" s="62" t="s">
        <v>61</v>
      </c>
      <c r="C54" s="209" t="s">
        <v>62</v>
      </c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7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</row>
    <row r="55" ht="17.25" customHeight="1">
      <c r="A55" s="121"/>
      <c r="B55" s="43"/>
      <c r="C55" s="210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7"/>
      <c r="P55" s="211" t="b">
        <v>0</v>
      </c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</row>
    <row r="56" ht="17.25" customHeight="1">
      <c r="A56" s="121"/>
      <c r="B56" s="212"/>
      <c r="C56" s="210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7"/>
      <c r="P56" s="211" t="b">
        <v>0</v>
      </c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</row>
    <row r="57" ht="17.25" customHeight="1">
      <c r="A57" s="121"/>
      <c r="B57" s="212"/>
      <c r="C57" s="210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7"/>
      <c r="P57" s="211" t="b">
        <v>0</v>
      </c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</row>
    <row r="58" ht="17.25" customHeight="1">
      <c r="A58" s="121"/>
      <c r="B58" s="212"/>
      <c r="C58" s="210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7"/>
      <c r="P58" s="211" t="b">
        <v>0</v>
      </c>
      <c r="Q58" s="121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  <c r="AL58" s="121"/>
      <c r="AM58" s="121"/>
      <c r="AN58" s="121"/>
    </row>
    <row r="59" ht="17.25" customHeight="1">
      <c r="A59" s="121"/>
      <c r="B59" s="212"/>
      <c r="C59" s="210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7"/>
      <c r="P59" s="211" t="b">
        <v>0</v>
      </c>
      <c r="Q59" s="121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1"/>
      <c r="AM59" s="121"/>
      <c r="AN59" s="121"/>
    </row>
    <row r="60" ht="17.25" customHeight="1">
      <c r="A60" s="121"/>
      <c r="B60" s="121"/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  <c r="AE60" s="121"/>
      <c r="AF60" s="121"/>
      <c r="AG60" s="121"/>
      <c r="AH60" s="121"/>
      <c r="AI60" s="121"/>
      <c r="AJ60" s="121"/>
      <c r="AK60" s="121"/>
      <c r="AL60" s="121"/>
      <c r="AM60" s="121"/>
      <c r="AN60" s="121"/>
    </row>
    <row r="61" ht="17.25" hidden="1" customHeight="1">
      <c r="A61" s="121"/>
      <c r="B61" s="121"/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1"/>
      <c r="AL61" s="121"/>
      <c r="AM61" s="121"/>
      <c r="AN61" s="121"/>
    </row>
    <row r="62" ht="17.25" hidden="1" customHeight="1">
      <c r="A62" s="121"/>
      <c r="B62" s="213">
        <f>COUNTIF($I$43:$I$47, true)</f>
        <v>0</v>
      </c>
      <c r="C62" s="214" t="str">
        <f t="array" ref="C62:H66">$C$43:$H$47</f>
        <v/>
      </c>
      <c r="D62" s="214"/>
      <c r="E62" s="214"/>
      <c r="F62" s="214"/>
      <c r="G62" s="214"/>
      <c r="H62" s="214"/>
      <c r="I62" s="213">
        <f t="array" ref="I62">COUNTA(UNIQUE($C$62:$C$140))</f>
        <v>0</v>
      </c>
      <c r="J62" s="215">
        <f>sum($B$62,$B$78,$B$110,$B$126)</f>
        <v>0</v>
      </c>
      <c r="K62" s="213">
        <f>sum(COUNTA($I$43:$I$47),COUNTA($P$43:$P$47),COUNTA($W$43:$W$47),COUNTA($AD$43:$AD$47),COUNTA($P$55:$P$59))</f>
        <v>25</v>
      </c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121"/>
      <c r="AK62" s="121"/>
      <c r="AL62" s="121"/>
      <c r="AM62" s="121"/>
      <c r="AN62" s="121"/>
    </row>
    <row r="63" ht="17.25" hidden="1" customHeight="1">
      <c r="A63" s="121"/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 s="121"/>
      <c r="AH63" s="121"/>
      <c r="AI63" s="121"/>
      <c r="AJ63" s="121"/>
      <c r="AK63" s="121"/>
      <c r="AL63" s="121"/>
      <c r="AM63" s="121"/>
      <c r="AN63" s="121"/>
    </row>
    <row r="64" ht="17.25" hidden="1" customHeight="1">
      <c r="A64" s="121"/>
      <c r="B64" s="214"/>
      <c r="C64" s="214"/>
      <c r="D64" s="214"/>
      <c r="E64" s="214"/>
      <c r="F64" s="214"/>
      <c r="G64" s="214"/>
      <c r="H64" s="214"/>
      <c r="I64" s="214"/>
      <c r="J64" s="214"/>
      <c r="K64" s="214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121"/>
      <c r="AK64" s="121"/>
      <c r="AL64" s="121"/>
      <c r="AM64" s="121"/>
      <c r="AN64" s="121"/>
    </row>
    <row r="65" ht="17.25" hidden="1" customHeight="1">
      <c r="A65" s="121"/>
      <c r="B65" s="214"/>
      <c r="C65" s="214"/>
      <c r="D65" s="214"/>
      <c r="E65" s="214"/>
      <c r="F65" s="214"/>
      <c r="G65" s="214"/>
      <c r="H65" s="214"/>
      <c r="I65" s="214"/>
      <c r="J65" s="214"/>
      <c r="K65" s="214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1"/>
      <c r="AI65" s="121"/>
      <c r="AJ65" s="121"/>
      <c r="AK65" s="121"/>
      <c r="AL65" s="121"/>
      <c r="AM65" s="121"/>
      <c r="AN65" s="121"/>
    </row>
    <row r="66" ht="17.25" hidden="1" customHeight="1">
      <c r="A66" s="121"/>
      <c r="B66" s="214"/>
      <c r="C66" s="214"/>
      <c r="D66" s="214"/>
      <c r="E66" s="214"/>
      <c r="F66" s="214"/>
      <c r="G66" s="214"/>
      <c r="H66" s="214"/>
      <c r="I66" s="214"/>
      <c r="J66" s="214"/>
      <c r="K66" s="214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  <c r="AA66" s="121"/>
      <c r="AB66" s="121"/>
      <c r="AC66" s="121"/>
      <c r="AD66" s="121"/>
      <c r="AE66" s="121"/>
      <c r="AF66" s="121"/>
      <c r="AG66" s="121"/>
      <c r="AH66" s="121"/>
      <c r="AI66" s="121"/>
      <c r="AJ66" s="121"/>
      <c r="AK66" s="121"/>
      <c r="AL66" s="121"/>
      <c r="AM66" s="121"/>
      <c r="AN66" s="121"/>
    </row>
    <row r="67" ht="17.25" hidden="1" customHeight="1">
      <c r="A67" s="121"/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1"/>
      <c r="AJ67" s="121"/>
      <c r="AK67" s="121"/>
      <c r="AL67" s="121"/>
      <c r="AM67" s="121"/>
      <c r="AN67" s="121"/>
    </row>
    <row r="68" ht="17.25" hidden="1" customHeight="1">
      <c r="A68" s="121"/>
      <c r="B68" s="214"/>
      <c r="C68" s="214"/>
      <c r="D68" s="214"/>
      <c r="E68" s="214"/>
      <c r="F68" s="214"/>
      <c r="G68" s="214"/>
      <c r="H68" s="214"/>
      <c r="I68" s="214"/>
      <c r="J68" s="214"/>
      <c r="K68" s="214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  <c r="AA68" s="121"/>
      <c r="AB68" s="121"/>
      <c r="AC68" s="121"/>
      <c r="AD68" s="121"/>
      <c r="AE68" s="121"/>
      <c r="AF68" s="121"/>
      <c r="AG68" s="121"/>
      <c r="AH68" s="121"/>
      <c r="AI68" s="121"/>
      <c r="AJ68" s="121"/>
      <c r="AK68" s="121"/>
      <c r="AL68" s="121"/>
      <c r="AM68" s="121"/>
      <c r="AN68" s="121"/>
    </row>
    <row r="69" ht="17.25" hidden="1" customHeight="1">
      <c r="A69" s="121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  <c r="AC69" s="121"/>
      <c r="AD69" s="121"/>
      <c r="AE69" s="121"/>
      <c r="AF69" s="121"/>
      <c r="AG69" s="121"/>
      <c r="AH69" s="121"/>
      <c r="AI69" s="121"/>
      <c r="AJ69" s="121"/>
      <c r="AK69" s="121"/>
      <c r="AL69" s="121"/>
      <c r="AM69" s="121"/>
      <c r="AN69" s="121"/>
    </row>
    <row r="70" ht="17.25" hidden="1" customHeight="1">
      <c r="A70" s="121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  <c r="AC70" s="121"/>
      <c r="AD70" s="121"/>
      <c r="AE70" s="121"/>
      <c r="AF70" s="121"/>
      <c r="AG70" s="121"/>
      <c r="AH70" s="121"/>
      <c r="AI70" s="121"/>
      <c r="AJ70" s="121"/>
      <c r="AK70" s="121"/>
      <c r="AL70" s="121"/>
      <c r="AM70" s="121"/>
      <c r="AN70" s="121"/>
    </row>
    <row r="71" ht="17.25" hidden="1" customHeight="1">
      <c r="A71" s="121"/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  <c r="AD71" s="121"/>
      <c r="AE71" s="121"/>
      <c r="AF71" s="121"/>
      <c r="AG71" s="121"/>
      <c r="AH71" s="121"/>
      <c r="AI71" s="121"/>
      <c r="AJ71" s="121"/>
      <c r="AK71" s="121"/>
      <c r="AL71" s="121"/>
      <c r="AM71" s="121"/>
      <c r="AN71" s="121"/>
    </row>
    <row r="72" ht="17.25" hidden="1" customHeight="1">
      <c r="A72" s="121"/>
      <c r="B72" s="214"/>
      <c r="C72" s="214"/>
      <c r="D72" s="214"/>
      <c r="E72" s="214"/>
      <c r="F72" s="214"/>
      <c r="G72" s="214"/>
      <c r="H72" s="214"/>
      <c r="I72" s="214"/>
      <c r="J72" s="214"/>
      <c r="K72" s="214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  <c r="AD72" s="121"/>
      <c r="AE72" s="121"/>
      <c r="AF72" s="121"/>
      <c r="AG72" s="121"/>
      <c r="AH72" s="121"/>
      <c r="AI72" s="121"/>
      <c r="AJ72" s="121"/>
      <c r="AK72" s="121"/>
      <c r="AL72" s="121"/>
      <c r="AM72" s="121"/>
      <c r="AN72" s="121"/>
    </row>
    <row r="73" ht="17.25" hidden="1" customHeight="1">
      <c r="A73" s="121"/>
      <c r="B73" s="214"/>
      <c r="C73" s="214"/>
      <c r="D73" s="214"/>
      <c r="E73" s="214"/>
      <c r="F73" s="214"/>
      <c r="G73" s="214"/>
      <c r="H73" s="214"/>
      <c r="I73" s="214"/>
      <c r="J73" s="214"/>
      <c r="K73" s="214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  <c r="AA73" s="121"/>
      <c r="AB73" s="121"/>
      <c r="AC73" s="121"/>
      <c r="AD73" s="121"/>
      <c r="AE73" s="121"/>
      <c r="AF73" s="121"/>
      <c r="AG73" s="121"/>
      <c r="AH73" s="121"/>
      <c r="AI73" s="121"/>
      <c r="AJ73" s="121"/>
      <c r="AK73" s="121"/>
      <c r="AL73" s="121"/>
      <c r="AM73" s="121"/>
      <c r="AN73" s="121"/>
    </row>
    <row r="74" ht="17.25" hidden="1" customHeight="1">
      <c r="A74" s="121"/>
      <c r="B74" s="214"/>
      <c r="C74" s="214"/>
      <c r="D74" s="214"/>
      <c r="E74" s="214"/>
      <c r="F74" s="214"/>
      <c r="G74" s="214"/>
      <c r="H74" s="214"/>
      <c r="I74" s="214"/>
      <c r="J74" s="214"/>
      <c r="K74" s="214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  <c r="AD74" s="121"/>
      <c r="AE74" s="121"/>
      <c r="AF74" s="121"/>
      <c r="AG74" s="121"/>
      <c r="AH74" s="121"/>
      <c r="AI74" s="121"/>
      <c r="AJ74" s="121"/>
      <c r="AK74" s="121"/>
      <c r="AL74" s="121"/>
      <c r="AM74" s="121"/>
      <c r="AN74" s="121"/>
    </row>
    <row r="75" ht="17.25" hidden="1" customHeight="1">
      <c r="A75" s="121"/>
      <c r="B75" s="214"/>
      <c r="C75" s="214"/>
      <c r="D75" s="214"/>
      <c r="E75" s="214"/>
      <c r="F75" s="214"/>
      <c r="G75" s="214"/>
      <c r="H75" s="214"/>
      <c r="I75" s="214"/>
      <c r="J75" s="214"/>
      <c r="K75" s="214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  <c r="AD75" s="121"/>
      <c r="AE75" s="121"/>
      <c r="AF75" s="121"/>
      <c r="AG75" s="121"/>
      <c r="AH75" s="121"/>
      <c r="AI75" s="121"/>
      <c r="AJ75" s="121"/>
      <c r="AK75" s="121"/>
      <c r="AL75" s="121"/>
      <c r="AM75" s="121"/>
      <c r="AN75" s="121"/>
    </row>
    <row r="76" ht="17.25" hidden="1" customHeight="1">
      <c r="A76" s="121"/>
      <c r="B76" s="214"/>
      <c r="C76" s="214"/>
      <c r="D76" s="214"/>
      <c r="E76" s="214"/>
      <c r="F76" s="214"/>
      <c r="G76" s="214"/>
      <c r="H76" s="214"/>
      <c r="I76" s="214"/>
      <c r="J76" s="214"/>
      <c r="K76" s="214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  <c r="AC76" s="121"/>
      <c r="AD76" s="121"/>
      <c r="AE76" s="121"/>
      <c r="AF76" s="121"/>
      <c r="AG76" s="121"/>
      <c r="AH76" s="121"/>
      <c r="AI76" s="121"/>
      <c r="AJ76" s="121"/>
      <c r="AK76" s="121"/>
      <c r="AL76" s="121"/>
      <c r="AM76" s="121"/>
      <c r="AN76" s="121"/>
    </row>
    <row r="77" ht="17.25" hidden="1" customHeight="1">
      <c r="A77" s="121"/>
      <c r="B77" s="214"/>
      <c r="C77" s="214"/>
      <c r="D77" s="214"/>
      <c r="E77" s="214"/>
      <c r="F77" s="214"/>
      <c r="G77" s="214"/>
      <c r="H77" s="214"/>
      <c r="I77" s="214"/>
      <c r="J77" s="214"/>
      <c r="K77" s="214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  <c r="AD77" s="121"/>
      <c r="AE77" s="121"/>
      <c r="AF77" s="121"/>
      <c r="AG77" s="121"/>
      <c r="AH77" s="121"/>
      <c r="AI77" s="121"/>
      <c r="AJ77" s="121"/>
      <c r="AK77" s="121"/>
      <c r="AL77" s="121"/>
      <c r="AM77" s="121"/>
      <c r="AN77" s="121"/>
    </row>
    <row r="78" ht="17.25" hidden="1" customHeight="1">
      <c r="A78" s="121"/>
      <c r="B78" s="213">
        <f>COUNTIF($P$43:$P$47, true)</f>
        <v>0</v>
      </c>
      <c r="C78" s="214" t="str">
        <f t="array" ref="C78:H82">$J$43:$O$47</f>
        <v/>
      </c>
      <c r="D78" s="214"/>
      <c r="E78" s="214"/>
      <c r="F78" s="214"/>
      <c r="G78" s="214"/>
      <c r="H78" s="214"/>
      <c r="I78" s="214"/>
      <c r="J78" s="214"/>
      <c r="K78" s="214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  <c r="AD78" s="121"/>
      <c r="AE78" s="121"/>
      <c r="AF78" s="121"/>
      <c r="AG78" s="121"/>
      <c r="AH78" s="121"/>
      <c r="AI78" s="121"/>
      <c r="AJ78" s="121"/>
      <c r="AK78" s="121"/>
      <c r="AL78" s="121"/>
      <c r="AM78" s="121"/>
      <c r="AN78" s="121"/>
    </row>
    <row r="79" ht="17.25" hidden="1" customHeight="1">
      <c r="A79" s="121"/>
      <c r="B79" s="214"/>
      <c r="C79" s="214"/>
      <c r="D79" s="214"/>
      <c r="E79" s="214"/>
      <c r="F79" s="214"/>
      <c r="G79" s="214"/>
      <c r="H79" s="214"/>
      <c r="I79" s="214"/>
      <c r="J79" s="214"/>
      <c r="K79" s="214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  <c r="AC79" s="121"/>
      <c r="AD79" s="121"/>
      <c r="AE79" s="121"/>
      <c r="AF79" s="121"/>
      <c r="AG79" s="121"/>
      <c r="AH79" s="121"/>
      <c r="AI79" s="121"/>
      <c r="AJ79" s="121"/>
      <c r="AK79" s="121"/>
      <c r="AL79" s="121"/>
      <c r="AM79" s="121"/>
      <c r="AN79" s="121"/>
    </row>
    <row r="80" ht="17.25" hidden="1" customHeight="1">
      <c r="A80" s="121"/>
      <c r="B80" s="214"/>
      <c r="C80" s="214"/>
      <c r="D80" s="214"/>
      <c r="E80" s="214"/>
      <c r="F80" s="214"/>
      <c r="G80" s="214"/>
      <c r="H80" s="214"/>
      <c r="I80" s="214"/>
      <c r="J80" s="214"/>
      <c r="K80" s="214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  <c r="AA80" s="121"/>
      <c r="AB80" s="121"/>
      <c r="AC80" s="121"/>
      <c r="AD80" s="121"/>
      <c r="AE80" s="121"/>
      <c r="AF80" s="121"/>
      <c r="AG80" s="121"/>
      <c r="AH80" s="121"/>
      <c r="AI80" s="121"/>
      <c r="AJ80" s="121"/>
      <c r="AK80" s="121"/>
      <c r="AL80" s="121"/>
      <c r="AM80" s="121"/>
      <c r="AN80" s="121"/>
    </row>
    <row r="81" ht="17.25" hidden="1" customHeight="1">
      <c r="A81" s="121"/>
      <c r="B81" s="214"/>
      <c r="C81" s="214"/>
      <c r="D81" s="214"/>
      <c r="E81" s="214"/>
      <c r="F81" s="214"/>
      <c r="G81" s="214"/>
      <c r="H81" s="214"/>
      <c r="I81" s="214"/>
      <c r="J81" s="214"/>
      <c r="K81" s="214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1"/>
      <c r="AG81" s="121"/>
      <c r="AH81" s="121"/>
      <c r="AI81" s="121"/>
      <c r="AJ81" s="121"/>
      <c r="AK81" s="121"/>
      <c r="AL81" s="121"/>
      <c r="AM81" s="121"/>
      <c r="AN81" s="121"/>
    </row>
    <row r="82" ht="17.25" hidden="1" customHeight="1">
      <c r="A82" s="121"/>
      <c r="B82" s="214"/>
      <c r="C82" s="214"/>
      <c r="D82" s="214"/>
      <c r="E82" s="214"/>
      <c r="F82" s="214"/>
      <c r="G82" s="214"/>
      <c r="H82" s="214"/>
      <c r="I82" s="214"/>
      <c r="J82" s="214"/>
      <c r="K82" s="214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</row>
    <row r="83" ht="17.25" hidden="1" customHeight="1">
      <c r="A83" s="121"/>
      <c r="B83" s="214"/>
      <c r="C83" s="214"/>
      <c r="D83" s="214"/>
      <c r="E83" s="214"/>
      <c r="F83" s="214"/>
      <c r="G83" s="214"/>
      <c r="H83" s="214"/>
      <c r="I83" s="214"/>
      <c r="J83" s="214"/>
      <c r="K83" s="214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</row>
    <row r="84" ht="17.25" hidden="1" customHeight="1">
      <c r="A84" s="121"/>
      <c r="B84" s="214"/>
      <c r="C84" s="214"/>
      <c r="D84" s="214"/>
      <c r="E84" s="214"/>
      <c r="F84" s="214"/>
      <c r="G84" s="214"/>
      <c r="H84" s="214"/>
      <c r="I84" s="214"/>
      <c r="J84" s="214"/>
      <c r="K84" s="214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1"/>
      <c r="AE84" s="121"/>
      <c r="AF84" s="121"/>
      <c r="AG84" s="121"/>
      <c r="AH84" s="121"/>
      <c r="AI84" s="121"/>
      <c r="AJ84" s="121"/>
      <c r="AK84" s="121"/>
      <c r="AL84" s="121"/>
      <c r="AM84" s="121"/>
      <c r="AN84" s="121"/>
    </row>
    <row r="85" ht="17.25" hidden="1" customHeight="1">
      <c r="A85" s="121"/>
      <c r="B85" s="214"/>
      <c r="C85" s="214"/>
      <c r="D85" s="214"/>
      <c r="E85" s="214"/>
      <c r="F85" s="214"/>
      <c r="G85" s="214"/>
      <c r="H85" s="214"/>
      <c r="I85" s="214"/>
      <c r="J85" s="214"/>
      <c r="K85" s="214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1"/>
      <c r="AL85" s="121"/>
      <c r="AM85" s="121"/>
      <c r="AN85" s="121"/>
    </row>
    <row r="86" ht="17.25" hidden="1" customHeight="1">
      <c r="A86" s="121"/>
      <c r="B86" s="214"/>
      <c r="C86" s="214"/>
      <c r="D86" s="214"/>
      <c r="E86" s="214"/>
      <c r="F86" s="214"/>
      <c r="G86" s="214"/>
      <c r="H86" s="214"/>
      <c r="I86" s="214"/>
      <c r="J86" s="214"/>
      <c r="K86" s="214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</row>
    <row r="87" ht="17.25" hidden="1" customHeight="1">
      <c r="A87" s="121"/>
      <c r="B87" s="214"/>
      <c r="C87" s="214"/>
      <c r="D87" s="214"/>
      <c r="E87" s="214"/>
      <c r="F87" s="214"/>
      <c r="G87" s="214"/>
      <c r="H87" s="214"/>
      <c r="I87" s="214"/>
      <c r="J87" s="214"/>
      <c r="K87" s="214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</row>
    <row r="88" ht="17.25" hidden="1" customHeight="1">
      <c r="A88" s="121"/>
      <c r="B88" s="214"/>
      <c r="C88" s="214"/>
      <c r="D88" s="214"/>
      <c r="E88" s="214"/>
      <c r="F88" s="214"/>
      <c r="G88" s="214"/>
      <c r="H88" s="214"/>
      <c r="I88" s="214"/>
      <c r="J88" s="214"/>
      <c r="K88" s="214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</row>
    <row r="89" ht="17.25" hidden="1" customHeight="1">
      <c r="A89" s="121"/>
      <c r="B89" s="214"/>
      <c r="C89" s="214"/>
      <c r="D89" s="214"/>
      <c r="E89" s="214"/>
      <c r="F89" s="214"/>
      <c r="G89" s="214"/>
      <c r="H89" s="214"/>
      <c r="I89" s="214"/>
      <c r="J89" s="214"/>
      <c r="K89" s="214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</row>
    <row r="90" ht="17.25" hidden="1" customHeight="1">
      <c r="A90" s="121"/>
      <c r="B90" s="214"/>
      <c r="C90" s="214"/>
      <c r="D90" s="214"/>
      <c r="E90" s="214"/>
      <c r="F90" s="214"/>
      <c r="G90" s="214"/>
      <c r="H90" s="214"/>
      <c r="I90" s="214"/>
      <c r="J90" s="214"/>
      <c r="K90" s="214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</row>
    <row r="91" ht="17.25" hidden="1" customHeight="1">
      <c r="A91" s="121"/>
      <c r="B91" s="214"/>
      <c r="C91" s="214"/>
      <c r="D91" s="214"/>
      <c r="E91" s="214"/>
      <c r="F91" s="214"/>
      <c r="G91" s="214"/>
      <c r="H91" s="214"/>
      <c r="I91" s="214"/>
      <c r="J91" s="214"/>
      <c r="K91" s="214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</row>
    <row r="92" ht="17.25" hidden="1" customHeight="1">
      <c r="A92" s="121"/>
      <c r="B92" s="214"/>
      <c r="C92" s="214"/>
      <c r="D92" s="214"/>
      <c r="E92" s="214"/>
      <c r="F92" s="214"/>
      <c r="G92" s="214"/>
      <c r="H92" s="214"/>
      <c r="I92" s="214"/>
      <c r="J92" s="214"/>
      <c r="K92" s="214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</row>
    <row r="93" ht="17.25" hidden="1" customHeight="1">
      <c r="A93" s="121"/>
      <c r="B93" s="214"/>
      <c r="C93" s="214"/>
      <c r="D93" s="214"/>
      <c r="E93" s="214"/>
      <c r="F93" s="214"/>
      <c r="G93" s="214"/>
      <c r="H93" s="214"/>
      <c r="I93" s="214"/>
      <c r="J93" s="214"/>
      <c r="K93" s="214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</row>
    <row r="94" ht="17.25" hidden="1" customHeight="1">
      <c r="A94" s="121"/>
      <c r="B94" s="213">
        <f>COUNTIF($W$43:$W$47, true)</f>
        <v>0</v>
      </c>
      <c r="C94" s="214" t="str">
        <f t="array" ref="C94:H98">$Q$43:$V$47</f>
        <v/>
      </c>
      <c r="D94" s="214"/>
      <c r="E94" s="214"/>
      <c r="F94" s="214"/>
      <c r="G94" s="214"/>
      <c r="H94" s="214"/>
      <c r="I94" s="214"/>
      <c r="J94" s="214"/>
      <c r="K94" s="214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</row>
    <row r="95" ht="17.25" hidden="1" customHeight="1">
      <c r="A95" s="121"/>
      <c r="B95" s="214"/>
      <c r="C95" s="214"/>
      <c r="D95" s="214"/>
      <c r="E95" s="214"/>
      <c r="F95" s="214"/>
      <c r="G95" s="214"/>
      <c r="H95" s="214"/>
      <c r="I95" s="214"/>
      <c r="J95" s="214"/>
      <c r="K95" s="214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</row>
    <row r="96" ht="17.25" hidden="1" customHeight="1">
      <c r="A96" s="121"/>
      <c r="B96" s="214"/>
      <c r="C96" s="214"/>
      <c r="D96" s="214"/>
      <c r="E96" s="214"/>
      <c r="F96" s="214"/>
      <c r="G96" s="214"/>
      <c r="H96" s="214"/>
      <c r="I96" s="214"/>
      <c r="J96" s="214"/>
      <c r="K96" s="214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1"/>
      <c r="AH96" s="121"/>
      <c r="AI96" s="121"/>
      <c r="AJ96" s="121"/>
      <c r="AK96" s="121"/>
      <c r="AL96" s="121"/>
      <c r="AM96" s="121"/>
      <c r="AN96" s="121"/>
    </row>
    <row r="97" ht="17.25" hidden="1" customHeight="1">
      <c r="A97" s="121"/>
      <c r="B97" s="214"/>
      <c r="C97" s="214"/>
      <c r="D97" s="214"/>
      <c r="E97" s="214"/>
      <c r="F97" s="214"/>
      <c r="G97" s="214"/>
      <c r="H97" s="214"/>
      <c r="I97" s="214"/>
      <c r="J97" s="214"/>
      <c r="K97" s="214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  <c r="AA97" s="121"/>
      <c r="AB97" s="121"/>
      <c r="AC97" s="121"/>
      <c r="AD97" s="121"/>
      <c r="AE97" s="121"/>
      <c r="AF97" s="121"/>
      <c r="AG97" s="121"/>
      <c r="AH97" s="121"/>
      <c r="AI97" s="121"/>
      <c r="AJ97" s="121"/>
      <c r="AK97" s="121"/>
      <c r="AL97" s="121"/>
      <c r="AM97" s="121"/>
      <c r="AN97" s="121"/>
    </row>
    <row r="98" ht="17.25" hidden="1" customHeight="1">
      <c r="A98" s="121"/>
      <c r="B98" s="214"/>
      <c r="C98" s="214"/>
      <c r="D98" s="214"/>
      <c r="E98" s="214"/>
      <c r="F98" s="214"/>
      <c r="G98" s="214"/>
      <c r="H98" s="214"/>
      <c r="I98" s="214"/>
      <c r="J98" s="214"/>
      <c r="K98" s="214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1"/>
      <c r="AH98" s="121"/>
      <c r="AI98" s="121"/>
      <c r="AJ98" s="121"/>
      <c r="AK98" s="121"/>
      <c r="AL98" s="121"/>
      <c r="AM98" s="121"/>
      <c r="AN98" s="121"/>
    </row>
    <row r="99" ht="17.25" hidden="1" customHeight="1">
      <c r="A99" s="121"/>
      <c r="B99" s="214"/>
      <c r="C99" s="214"/>
      <c r="D99" s="214"/>
      <c r="E99" s="214"/>
      <c r="F99" s="214"/>
      <c r="G99" s="214"/>
      <c r="H99" s="214"/>
      <c r="I99" s="214"/>
      <c r="J99" s="214"/>
      <c r="K99" s="214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  <c r="AA99" s="121"/>
      <c r="AB99" s="121"/>
      <c r="AC99" s="121"/>
      <c r="AD99" s="121"/>
      <c r="AE99" s="121"/>
      <c r="AF99" s="121"/>
      <c r="AG99" s="121"/>
      <c r="AH99" s="121"/>
      <c r="AI99" s="121"/>
      <c r="AJ99" s="121"/>
      <c r="AK99" s="121"/>
      <c r="AL99" s="121"/>
      <c r="AM99" s="121"/>
      <c r="AN99" s="121"/>
    </row>
    <row r="100" ht="17.25" hidden="1" customHeight="1">
      <c r="A100" s="121"/>
      <c r="B100" s="214"/>
      <c r="C100" s="214"/>
      <c r="D100" s="214"/>
      <c r="E100" s="214"/>
      <c r="F100" s="214"/>
      <c r="G100" s="214"/>
      <c r="H100" s="214"/>
      <c r="I100" s="214"/>
      <c r="J100" s="214"/>
      <c r="K100" s="214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  <c r="AA100" s="121"/>
      <c r="AB100" s="121"/>
      <c r="AC100" s="121"/>
      <c r="AD100" s="121"/>
      <c r="AE100" s="121"/>
      <c r="AF100" s="121"/>
      <c r="AG100" s="121"/>
      <c r="AH100" s="121"/>
      <c r="AI100" s="121"/>
      <c r="AJ100" s="121"/>
      <c r="AK100" s="121"/>
      <c r="AL100" s="121"/>
      <c r="AM100" s="121"/>
      <c r="AN100" s="121"/>
    </row>
    <row r="101" ht="17.25" hidden="1" customHeight="1">
      <c r="A101" s="121"/>
      <c r="B101" s="214"/>
      <c r="C101" s="214"/>
      <c r="D101" s="214"/>
      <c r="E101" s="214"/>
      <c r="F101" s="214"/>
      <c r="G101" s="214"/>
      <c r="H101" s="214"/>
      <c r="I101" s="214"/>
      <c r="J101" s="214"/>
      <c r="K101" s="214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  <c r="AA101" s="121"/>
      <c r="AB101" s="121"/>
      <c r="AC101" s="121"/>
      <c r="AD101" s="121"/>
      <c r="AE101" s="121"/>
      <c r="AF101" s="121"/>
      <c r="AG101" s="121"/>
      <c r="AH101" s="121"/>
      <c r="AI101" s="121"/>
      <c r="AJ101" s="121"/>
      <c r="AK101" s="121"/>
      <c r="AL101" s="121"/>
      <c r="AM101" s="121"/>
      <c r="AN101" s="121"/>
    </row>
    <row r="102" ht="17.25" hidden="1" customHeight="1">
      <c r="A102" s="121"/>
      <c r="B102" s="214"/>
      <c r="C102" s="214"/>
      <c r="D102" s="214"/>
      <c r="E102" s="214"/>
      <c r="F102" s="214"/>
      <c r="G102" s="214"/>
      <c r="H102" s="214"/>
      <c r="I102" s="214"/>
      <c r="J102" s="214"/>
      <c r="K102" s="214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  <c r="AA102" s="121"/>
      <c r="AB102" s="121"/>
      <c r="AC102" s="121"/>
      <c r="AD102" s="121"/>
      <c r="AE102" s="121"/>
      <c r="AF102" s="121"/>
      <c r="AG102" s="121"/>
      <c r="AH102" s="121"/>
      <c r="AI102" s="121"/>
      <c r="AJ102" s="121"/>
      <c r="AK102" s="121"/>
      <c r="AL102" s="121"/>
      <c r="AM102" s="121"/>
      <c r="AN102" s="121"/>
    </row>
    <row r="103" ht="17.25" hidden="1" customHeight="1">
      <c r="A103" s="121"/>
      <c r="B103" s="214"/>
      <c r="C103" s="214"/>
      <c r="D103" s="214"/>
      <c r="E103" s="214"/>
      <c r="F103" s="214"/>
      <c r="G103" s="214"/>
      <c r="H103" s="214"/>
      <c r="I103" s="214"/>
      <c r="J103" s="214"/>
      <c r="K103" s="214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  <c r="AA103" s="121"/>
      <c r="AB103" s="121"/>
      <c r="AC103" s="121"/>
      <c r="AD103" s="121"/>
      <c r="AE103" s="121"/>
      <c r="AF103" s="121"/>
      <c r="AG103" s="121"/>
      <c r="AH103" s="121"/>
      <c r="AI103" s="121"/>
      <c r="AJ103" s="121"/>
      <c r="AK103" s="121"/>
      <c r="AL103" s="121"/>
      <c r="AM103" s="121"/>
      <c r="AN103" s="121"/>
    </row>
    <row r="104" ht="17.25" hidden="1" customHeight="1">
      <c r="A104" s="121"/>
      <c r="B104" s="214"/>
      <c r="C104" s="214"/>
      <c r="D104" s="214"/>
      <c r="E104" s="214"/>
      <c r="F104" s="214"/>
      <c r="G104" s="214"/>
      <c r="H104" s="214"/>
      <c r="I104" s="214"/>
      <c r="J104" s="214"/>
      <c r="K104" s="214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  <c r="AA104" s="121"/>
      <c r="AB104" s="121"/>
      <c r="AC104" s="121"/>
      <c r="AD104" s="121"/>
      <c r="AE104" s="121"/>
      <c r="AF104" s="121"/>
      <c r="AG104" s="121"/>
      <c r="AH104" s="121"/>
      <c r="AI104" s="121"/>
      <c r="AJ104" s="121"/>
      <c r="AK104" s="121"/>
      <c r="AL104" s="121"/>
      <c r="AM104" s="121"/>
      <c r="AN104" s="121"/>
    </row>
    <row r="105" ht="17.25" hidden="1" customHeight="1">
      <c r="A105" s="121"/>
      <c r="B105" s="214"/>
      <c r="C105" s="214"/>
      <c r="D105" s="214"/>
      <c r="E105" s="214"/>
      <c r="F105" s="214"/>
      <c r="G105" s="214"/>
      <c r="H105" s="214"/>
      <c r="I105" s="214"/>
      <c r="J105" s="214"/>
      <c r="K105" s="214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  <c r="AA105" s="121"/>
      <c r="AB105" s="121"/>
      <c r="AC105" s="121"/>
      <c r="AD105" s="121"/>
      <c r="AE105" s="121"/>
      <c r="AF105" s="121"/>
      <c r="AG105" s="121"/>
      <c r="AH105" s="121"/>
      <c r="AI105" s="121"/>
      <c r="AJ105" s="121"/>
      <c r="AK105" s="121"/>
      <c r="AL105" s="121"/>
      <c r="AM105" s="121"/>
      <c r="AN105" s="121"/>
    </row>
    <row r="106" ht="17.25" hidden="1" customHeight="1">
      <c r="A106" s="121"/>
      <c r="B106" s="214"/>
      <c r="C106" s="214"/>
      <c r="D106" s="214"/>
      <c r="E106" s="214"/>
      <c r="F106" s="214"/>
      <c r="G106" s="214"/>
      <c r="H106" s="214"/>
      <c r="I106" s="214"/>
      <c r="J106" s="214"/>
      <c r="K106" s="214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  <c r="AA106" s="121"/>
      <c r="AB106" s="121"/>
      <c r="AC106" s="121"/>
      <c r="AD106" s="121"/>
      <c r="AE106" s="121"/>
      <c r="AF106" s="121"/>
      <c r="AG106" s="121"/>
      <c r="AH106" s="121"/>
      <c r="AI106" s="121"/>
      <c r="AJ106" s="121"/>
      <c r="AK106" s="121"/>
      <c r="AL106" s="121"/>
      <c r="AM106" s="121"/>
      <c r="AN106" s="121"/>
    </row>
    <row r="107" ht="17.25" hidden="1" customHeight="1">
      <c r="A107" s="121"/>
      <c r="B107" s="214"/>
      <c r="C107" s="214"/>
      <c r="D107" s="214"/>
      <c r="E107" s="214"/>
      <c r="F107" s="214"/>
      <c r="G107" s="214"/>
      <c r="H107" s="214"/>
      <c r="I107" s="214"/>
      <c r="J107" s="214"/>
      <c r="K107" s="214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  <c r="AA107" s="121"/>
      <c r="AB107" s="121"/>
      <c r="AC107" s="121"/>
      <c r="AD107" s="121"/>
      <c r="AE107" s="121"/>
      <c r="AF107" s="121"/>
      <c r="AG107" s="121"/>
      <c r="AH107" s="121"/>
      <c r="AI107" s="121"/>
      <c r="AJ107" s="121"/>
      <c r="AK107" s="121"/>
      <c r="AL107" s="121"/>
      <c r="AM107" s="121"/>
      <c r="AN107" s="121"/>
    </row>
    <row r="108" ht="17.25" hidden="1" customHeight="1">
      <c r="A108" s="121"/>
      <c r="B108" s="214"/>
      <c r="C108" s="214"/>
      <c r="D108" s="214"/>
      <c r="E108" s="214"/>
      <c r="F108" s="214"/>
      <c r="G108" s="214"/>
      <c r="H108" s="214"/>
      <c r="I108" s="214"/>
      <c r="J108" s="214"/>
      <c r="K108" s="214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  <c r="AA108" s="121"/>
      <c r="AB108" s="121"/>
      <c r="AC108" s="121"/>
      <c r="AD108" s="121"/>
      <c r="AE108" s="121"/>
      <c r="AF108" s="121"/>
      <c r="AG108" s="121"/>
      <c r="AH108" s="121"/>
      <c r="AI108" s="121"/>
      <c r="AJ108" s="121"/>
      <c r="AK108" s="121"/>
      <c r="AL108" s="121"/>
      <c r="AM108" s="121"/>
      <c r="AN108" s="121"/>
    </row>
    <row r="109" ht="17.25" hidden="1" customHeight="1">
      <c r="A109" s="121"/>
      <c r="B109" s="214"/>
      <c r="C109" s="214"/>
      <c r="D109" s="214"/>
      <c r="E109" s="214"/>
      <c r="F109" s="214"/>
      <c r="G109" s="214"/>
      <c r="H109" s="214"/>
      <c r="I109" s="214"/>
      <c r="J109" s="214"/>
      <c r="K109" s="214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  <c r="AA109" s="121"/>
      <c r="AB109" s="121"/>
      <c r="AC109" s="121"/>
      <c r="AD109" s="121"/>
      <c r="AE109" s="121"/>
      <c r="AF109" s="121"/>
      <c r="AG109" s="121"/>
      <c r="AH109" s="121"/>
      <c r="AI109" s="121"/>
      <c r="AJ109" s="121"/>
      <c r="AK109" s="121"/>
      <c r="AL109" s="121"/>
      <c r="AM109" s="121"/>
      <c r="AN109" s="121"/>
    </row>
    <row r="110" ht="17.25" hidden="1" customHeight="1">
      <c r="A110" s="121"/>
      <c r="B110" s="213">
        <f>COUNTIF($AD$43:$AD$47, true)</f>
        <v>0</v>
      </c>
      <c r="C110" s="214" t="str">
        <f t="array" ref="C110:H114">$X$43:$AC$47</f>
        <v/>
      </c>
      <c r="D110" s="214"/>
      <c r="E110" s="214"/>
      <c r="F110" s="214"/>
      <c r="G110" s="214"/>
      <c r="H110" s="214"/>
      <c r="I110" s="214"/>
      <c r="J110" s="214"/>
      <c r="K110" s="214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121"/>
      <c r="AK110" s="121"/>
      <c r="AL110" s="121"/>
      <c r="AM110" s="121"/>
      <c r="AN110" s="121"/>
    </row>
    <row r="111" ht="17.25" hidden="1" customHeight="1">
      <c r="A111" s="121"/>
      <c r="B111" s="214"/>
      <c r="C111" s="214"/>
      <c r="D111" s="214"/>
      <c r="E111" s="214"/>
      <c r="F111" s="214"/>
      <c r="G111" s="214"/>
      <c r="H111" s="214"/>
      <c r="I111" s="214"/>
      <c r="J111" s="214"/>
      <c r="K111" s="214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  <c r="AA111" s="121"/>
      <c r="AB111" s="121"/>
      <c r="AC111" s="121"/>
      <c r="AD111" s="121"/>
      <c r="AE111" s="121"/>
      <c r="AF111" s="121"/>
      <c r="AG111" s="121"/>
      <c r="AH111" s="121"/>
      <c r="AI111" s="121"/>
      <c r="AJ111" s="121"/>
      <c r="AK111" s="121"/>
      <c r="AL111" s="121"/>
      <c r="AM111" s="121"/>
      <c r="AN111" s="121"/>
    </row>
    <row r="112" ht="17.25" hidden="1" customHeight="1">
      <c r="A112" s="121"/>
      <c r="B112" s="214"/>
      <c r="C112" s="214"/>
      <c r="D112" s="214"/>
      <c r="E112" s="214"/>
      <c r="F112" s="214"/>
      <c r="G112" s="214"/>
      <c r="H112" s="214"/>
      <c r="I112" s="214"/>
      <c r="J112" s="214"/>
      <c r="K112" s="214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  <c r="AA112" s="121"/>
      <c r="AB112" s="121"/>
      <c r="AC112" s="121"/>
      <c r="AD112" s="121"/>
      <c r="AE112" s="121"/>
      <c r="AF112" s="121"/>
      <c r="AG112" s="121"/>
      <c r="AH112" s="121"/>
      <c r="AI112" s="121"/>
      <c r="AJ112" s="121"/>
      <c r="AK112" s="121"/>
      <c r="AL112" s="121"/>
      <c r="AM112" s="121"/>
      <c r="AN112" s="121"/>
    </row>
    <row r="113" ht="17.25" hidden="1" customHeight="1">
      <c r="A113" s="121"/>
      <c r="B113" s="214"/>
      <c r="C113" s="214"/>
      <c r="D113" s="214"/>
      <c r="E113" s="214"/>
      <c r="F113" s="214"/>
      <c r="G113" s="214"/>
      <c r="H113" s="214"/>
      <c r="I113" s="214"/>
      <c r="J113" s="214"/>
      <c r="K113" s="214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  <c r="AA113" s="121"/>
      <c r="AB113" s="121"/>
      <c r="AC113" s="121"/>
      <c r="AD113" s="121"/>
      <c r="AE113" s="121"/>
      <c r="AF113" s="121"/>
      <c r="AG113" s="121"/>
      <c r="AH113" s="121"/>
      <c r="AI113" s="121"/>
      <c r="AJ113" s="121"/>
      <c r="AK113" s="121"/>
      <c r="AL113" s="121"/>
      <c r="AM113" s="121"/>
      <c r="AN113" s="121"/>
    </row>
    <row r="114" ht="17.25" hidden="1" customHeight="1">
      <c r="A114" s="121"/>
      <c r="B114" s="214"/>
      <c r="C114" s="214"/>
      <c r="D114" s="214"/>
      <c r="E114" s="214"/>
      <c r="F114" s="214"/>
      <c r="G114" s="214"/>
      <c r="H114" s="214"/>
      <c r="I114" s="214"/>
      <c r="J114" s="214"/>
      <c r="K114" s="214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  <c r="AA114" s="121"/>
      <c r="AB114" s="121"/>
      <c r="AC114" s="121"/>
      <c r="AD114" s="121"/>
      <c r="AE114" s="121"/>
      <c r="AF114" s="121"/>
      <c r="AG114" s="121"/>
      <c r="AH114" s="121"/>
      <c r="AI114" s="121"/>
      <c r="AJ114" s="121"/>
      <c r="AK114" s="121"/>
      <c r="AL114" s="121"/>
      <c r="AM114" s="121"/>
      <c r="AN114" s="121"/>
    </row>
    <row r="115" ht="17.25" hidden="1" customHeight="1">
      <c r="A115" s="121"/>
      <c r="B115" s="214"/>
      <c r="C115" s="214"/>
      <c r="D115" s="214"/>
      <c r="E115" s="214"/>
      <c r="F115" s="214"/>
      <c r="G115" s="214"/>
      <c r="H115" s="214"/>
      <c r="I115" s="214"/>
      <c r="J115" s="214"/>
      <c r="K115" s="214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  <c r="AA115" s="121"/>
      <c r="AB115" s="121"/>
      <c r="AC115" s="121"/>
      <c r="AD115" s="121"/>
      <c r="AE115" s="121"/>
      <c r="AF115" s="121"/>
      <c r="AG115" s="121"/>
      <c r="AH115" s="121"/>
      <c r="AI115" s="121"/>
      <c r="AJ115" s="121"/>
      <c r="AK115" s="121"/>
      <c r="AL115" s="121"/>
      <c r="AM115" s="121"/>
      <c r="AN115" s="121"/>
    </row>
    <row r="116" ht="17.25" hidden="1" customHeight="1">
      <c r="A116" s="121"/>
      <c r="B116" s="214"/>
      <c r="C116" s="214"/>
      <c r="D116" s="214"/>
      <c r="E116" s="214"/>
      <c r="F116" s="214"/>
      <c r="G116" s="214"/>
      <c r="H116" s="214"/>
      <c r="I116" s="214"/>
      <c r="J116" s="214"/>
      <c r="K116" s="214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  <c r="AA116" s="121"/>
      <c r="AB116" s="121"/>
      <c r="AC116" s="121"/>
      <c r="AD116" s="121"/>
      <c r="AE116" s="121"/>
      <c r="AF116" s="121"/>
      <c r="AG116" s="121"/>
      <c r="AH116" s="121"/>
      <c r="AI116" s="121"/>
      <c r="AJ116" s="121"/>
      <c r="AK116" s="121"/>
      <c r="AL116" s="121"/>
      <c r="AM116" s="121"/>
      <c r="AN116" s="121"/>
    </row>
    <row r="117" ht="17.25" hidden="1" customHeight="1">
      <c r="A117" s="121"/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121"/>
      <c r="AF117" s="121"/>
      <c r="AG117" s="121"/>
      <c r="AH117" s="121"/>
      <c r="AI117" s="121"/>
      <c r="AJ117" s="121"/>
      <c r="AK117" s="121"/>
      <c r="AL117" s="121"/>
      <c r="AM117" s="121"/>
      <c r="AN117" s="121"/>
    </row>
    <row r="118" ht="17.25" hidden="1" customHeight="1">
      <c r="A118" s="121"/>
      <c r="B118" s="214"/>
      <c r="C118" s="214"/>
      <c r="D118" s="214"/>
      <c r="E118" s="214"/>
      <c r="F118" s="214"/>
      <c r="G118" s="214"/>
      <c r="H118" s="214"/>
      <c r="I118" s="214"/>
      <c r="J118" s="214"/>
      <c r="K118" s="214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  <c r="AA118" s="121"/>
      <c r="AB118" s="121"/>
      <c r="AC118" s="121"/>
      <c r="AD118" s="121"/>
      <c r="AE118" s="121"/>
      <c r="AF118" s="121"/>
      <c r="AG118" s="121"/>
      <c r="AH118" s="121"/>
      <c r="AI118" s="121"/>
      <c r="AJ118" s="121"/>
      <c r="AK118" s="121"/>
      <c r="AL118" s="121"/>
      <c r="AM118" s="121"/>
      <c r="AN118" s="121"/>
    </row>
    <row r="119" ht="17.25" hidden="1" customHeight="1">
      <c r="A119" s="121"/>
      <c r="B119" s="214"/>
      <c r="C119" s="214"/>
      <c r="D119" s="214"/>
      <c r="E119" s="214"/>
      <c r="F119" s="214"/>
      <c r="G119" s="214"/>
      <c r="H119" s="214"/>
      <c r="I119" s="214"/>
      <c r="J119" s="214"/>
      <c r="K119" s="214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  <c r="AA119" s="121"/>
      <c r="AB119" s="121"/>
      <c r="AC119" s="121"/>
      <c r="AD119" s="121"/>
      <c r="AE119" s="121"/>
      <c r="AF119" s="121"/>
      <c r="AG119" s="121"/>
      <c r="AH119" s="121"/>
      <c r="AI119" s="121"/>
      <c r="AJ119" s="121"/>
      <c r="AK119" s="121"/>
      <c r="AL119" s="121"/>
      <c r="AM119" s="121"/>
      <c r="AN119" s="121"/>
    </row>
    <row r="120" ht="17.25" hidden="1" customHeight="1">
      <c r="A120" s="121"/>
      <c r="B120" s="214"/>
      <c r="C120" s="214"/>
      <c r="D120" s="214"/>
      <c r="E120" s="214"/>
      <c r="F120" s="214"/>
      <c r="G120" s="214"/>
      <c r="H120" s="214"/>
      <c r="I120" s="214"/>
      <c r="J120" s="214"/>
      <c r="K120" s="214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</row>
    <row r="121" ht="17.25" hidden="1" customHeight="1">
      <c r="A121" s="121"/>
      <c r="B121" s="214"/>
      <c r="C121" s="214"/>
      <c r="D121" s="214"/>
      <c r="E121" s="214"/>
      <c r="F121" s="214"/>
      <c r="G121" s="214"/>
      <c r="H121" s="214"/>
      <c r="I121" s="214"/>
      <c r="J121" s="214"/>
      <c r="K121" s="214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</row>
    <row r="122" ht="17.25" hidden="1" customHeight="1">
      <c r="A122" s="121"/>
      <c r="B122" s="214"/>
      <c r="C122" s="214"/>
      <c r="D122" s="214"/>
      <c r="E122" s="214"/>
      <c r="F122" s="214"/>
      <c r="G122" s="214"/>
      <c r="H122" s="214"/>
      <c r="I122" s="214"/>
      <c r="J122" s="214"/>
      <c r="K122" s="214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  <c r="AA122" s="121"/>
      <c r="AB122" s="121"/>
      <c r="AC122" s="121"/>
      <c r="AD122" s="121"/>
      <c r="AE122" s="121"/>
      <c r="AF122" s="121"/>
      <c r="AG122" s="121"/>
      <c r="AH122" s="121"/>
      <c r="AI122" s="121"/>
      <c r="AJ122" s="121"/>
      <c r="AK122" s="121"/>
      <c r="AL122" s="121"/>
      <c r="AM122" s="121"/>
      <c r="AN122" s="121"/>
    </row>
    <row r="123" ht="17.25" hidden="1" customHeight="1">
      <c r="A123" s="121"/>
      <c r="B123" s="214"/>
      <c r="C123" s="214"/>
      <c r="D123" s="214"/>
      <c r="E123" s="214"/>
      <c r="F123" s="214"/>
      <c r="G123" s="214"/>
      <c r="H123" s="214"/>
      <c r="I123" s="214"/>
      <c r="J123" s="214"/>
      <c r="K123" s="214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1"/>
      <c r="AL123" s="121"/>
      <c r="AM123" s="121"/>
      <c r="AN123" s="121"/>
    </row>
    <row r="124" ht="17.25" hidden="1" customHeight="1">
      <c r="A124" s="121"/>
      <c r="B124" s="214"/>
      <c r="C124" s="214"/>
      <c r="D124" s="214"/>
      <c r="E124" s="214"/>
      <c r="F124" s="214"/>
      <c r="G124" s="214"/>
      <c r="H124" s="214"/>
      <c r="I124" s="214"/>
      <c r="J124" s="214"/>
      <c r="K124" s="214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</row>
    <row r="125" ht="17.25" hidden="1" customHeight="1">
      <c r="A125" s="121"/>
      <c r="B125" s="214"/>
      <c r="C125" s="214"/>
      <c r="D125" s="214"/>
      <c r="E125" s="214"/>
      <c r="F125" s="214"/>
      <c r="G125" s="214"/>
      <c r="H125" s="214"/>
      <c r="I125" s="214"/>
      <c r="J125" s="214"/>
      <c r="K125" s="214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</row>
    <row r="126" ht="17.25" hidden="1" customHeight="1">
      <c r="A126" s="121"/>
      <c r="B126" s="213">
        <f>COUNTIF($P$55:$P$59, true)</f>
        <v>0</v>
      </c>
      <c r="C126" s="214" t="str">
        <f t="array" ref="C126:O130">$C$55:$O$59</f>
        <v/>
      </c>
      <c r="D126" s="214"/>
      <c r="E126" s="214"/>
      <c r="F126" s="214"/>
      <c r="G126" s="214"/>
      <c r="H126" s="214"/>
      <c r="I126" s="214"/>
      <c r="J126" s="214"/>
      <c r="K126" s="214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</row>
    <row r="127" ht="17.25" hidden="1" customHeight="1">
      <c r="A127" s="121"/>
      <c r="B127" s="214"/>
      <c r="C127" s="214"/>
      <c r="D127" s="214"/>
      <c r="E127" s="214"/>
      <c r="F127" s="214"/>
      <c r="G127" s="214"/>
      <c r="H127" s="214"/>
      <c r="I127" s="214"/>
      <c r="J127" s="214"/>
      <c r="K127" s="214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</row>
    <row r="128" ht="17.25" hidden="1" customHeight="1">
      <c r="A128" s="121"/>
      <c r="B128" s="214"/>
      <c r="C128" s="214"/>
      <c r="D128" s="214"/>
      <c r="E128" s="214"/>
      <c r="F128" s="214"/>
      <c r="G128" s="214"/>
      <c r="H128" s="214"/>
      <c r="I128" s="214"/>
      <c r="J128" s="214"/>
      <c r="K128" s="214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</row>
    <row r="129" ht="17.25" hidden="1" customHeight="1">
      <c r="A129" s="121"/>
      <c r="B129" s="214"/>
      <c r="C129" s="214"/>
      <c r="D129" s="214"/>
      <c r="E129" s="214"/>
      <c r="F129" s="214"/>
      <c r="G129" s="214"/>
      <c r="H129" s="214"/>
      <c r="I129" s="214"/>
      <c r="J129" s="214"/>
      <c r="K129" s="214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</row>
    <row r="130" ht="17.25" hidden="1" customHeight="1">
      <c r="A130" s="121"/>
      <c r="B130" s="214"/>
      <c r="C130" s="214"/>
      <c r="D130" s="214"/>
      <c r="E130" s="214"/>
      <c r="F130" s="214"/>
      <c r="G130" s="214"/>
      <c r="H130" s="214"/>
      <c r="I130" s="214"/>
      <c r="J130" s="214"/>
      <c r="K130" s="214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</row>
    <row r="131" ht="17.25" hidden="1" customHeight="1">
      <c r="A131" s="121"/>
      <c r="B131" s="214"/>
      <c r="C131" s="214"/>
      <c r="D131" s="214"/>
      <c r="E131" s="214"/>
      <c r="F131" s="214"/>
      <c r="G131" s="214"/>
      <c r="H131" s="214"/>
      <c r="I131" s="214"/>
      <c r="J131" s="214"/>
      <c r="K131" s="214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</row>
    <row r="132" ht="17.25" hidden="1" customHeight="1">
      <c r="A132" s="121"/>
      <c r="B132" s="214"/>
      <c r="C132" s="214"/>
      <c r="D132" s="214"/>
      <c r="E132" s="214"/>
      <c r="F132" s="214"/>
      <c r="G132" s="214"/>
      <c r="H132" s="214"/>
      <c r="I132" s="214"/>
      <c r="J132" s="214"/>
      <c r="K132" s="214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</row>
    <row r="133" ht="17.25" hidden="1" customHeight="1">
      <c r="A133" s="121"/>
      <c r="B133" s="214"/>
      <c r="C133" s="214"/>
      <c r="D133" s="214"/>
      <c r="E133" s="214"/>
      <c r="F133" s="214"/>
      <c r="G133" s="214"/>
      <c r="H133" s="214"/>
      <c r="I133" s="214"/>
      <c r="J133" s="214"/>
      <c r="K133" s="214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</row>
    <row r="134" ht="17.25" hidden="1" customHeight="1">
      <c r="A134" s="121"/>
      <c r="B134" s="214"/>
      <c r="C134" s="214"/>
      <c r="D134" s="214"/>
      <c r="E134" s="214"/>
      <c r="F134" s="214"/>
      <c r="G134" s="214"/>
      <c r="H134" s="214"/>
      <c r="I134" s="214"/>
      <c r="J134" s="214"/>
      <c r="K134" s="214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  <c r="AA134" s="121"/>
      <c r="AB134" s="121"/>
      <c r="AC134" s="121"/>
      <c r="AD134" s="121"/>
      <c r="AE134" s="121"/>
      <c r="AF134" s="121"/>
      <c r="AG134" s="121"/>
      <c r="AH134" s="121"/>
      <c r="AI134" s="121"/>
      <c r="AJ134" s="121"/>
      <c r="AK134" s="121"/>
      <c r="AL134" s="121"/>
      <c r="AM134" s="121"/>
      <c r="AN134" s="121"/>
    </row>
    <row r="135" ht="17.25" hidden="1" customHeight="1">
      <c r="A135" s="121"/>
      <c r="B135" s="214"/>
      <c r="C135" s="214"/>
      <c r="D135" s="214"/>
      <c r="E135" s="214"/>
      <c r="F135" s="214"/>
      <c r="G135" s="214"/>
      <c r="H135" s="214"/>
      <c r="I135" s="214"/>
      <c r="J135" s="214"/>
      <c r="K135" s="214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  <c r="AA135" s="121"/>
      <c r="AB135" s="121"/>
      <c r="AC135" s="121"/>
      <c r="AD135" s="121"/>
      <c r="AE135" s="121"/>
      <c r="AF135" s="121"/>
      <c r="AG135" s="121"/>
      <c r="AH135" s="121"/>
      <c r="AI135" s="121"/>
      <c r="AJ135" s="121"/>
      <c r="AK135" s="121"/>
      <c r="AL135" s="121"/>
      <c r="AM135" s="121"/>
      <c r="AN135" s="121"/>
    </row>
    <row r="136" ht="17.25" hidden="1" customHeight="1">
      <c r="A136" s="121"/>
      <c r="B136" s="214"/>
      <c r="C136" s="214"/>
      <c r="D136" s="214"/>
      <c r="E136" s="214"/>
      <c r="F136" s="214"/>
      <c r="G136" s="214"/>
      <c r="H136" s="214"/>
      <c r="I136" s="214"/>
      <c r="J136" s="214"/>
      <c r="K136" s="214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  <c r="AA136" s="121"/>
      <c r="AB136" s="121"/>
      <c r="AC136" s="121"/>
      <c r="AD136" s="121"/>
      <c r="AE136" s="121"/>
      <c r="AF136" s="121"/>
      <c r="AG136" s="121"/>
      <c r="AH136" s="121"/>
      <c r="AI136" s="121"/>
      <c r="AJ136" s="121"/>
      <c r="AK136" s="121"/>
      <c r="AL136" s="121"/>
      <c r="AM136" s="121"/>
      <c r="AN136" s="121"/>
    </row>
    <row r="137" ht="17.25" hidden="1" customHeight="1">
      <c r="A137" s="121"/>
      <c r="B137" s="214"/>
      <c r="C137" s="214"/>
      <c r="D137" s="214"/>
      <c r="E137" s="214"/>
      <c r="F137" s="214"/>
      <c r="G137" s="214"/>
      <c r="H137" s="214"/>
      <c r="I137" s="214"/>
      <c r="J137" s="214"/>
      <c r="K137" s="214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  <c r="AA137" s="121"/>
      <c r="AB137" s="121"/>
      <c r="AC137" s="121"/>
      <c r="AD137" s="121"/>
      <c r="AE137" s="121"/>
      <c r="AF137" s="121"/>
      <c r="AG137" s="121"/>
      <c r="AH137" s="121"/>
      <c r="AI137" s="121"/>
      <c r="AJ137" s="121"/>
      <c r="AK137" s="121"/>
      <c r="AL137" s="121"/>
      <c r="AM137" s="121"/>
      <c r="AN137" s="121"/>
    </row>
    <row r="138" ht="17.25" hidden="1" customHeight="1">
      <c r="A138" s="121"/>
      <c r="B138" s="214"/>
      <c r="C138" s="214"/>
      <c r="D138" s="214"/>
      <c r="E138" s="214"/>
      <c r="F138" s="214"/>
      <c r="G138" s="214"/>
      <c r="H138" s="214"/>
      <c r="I138" s="214"/>
      <c r="J138" s="214"/>
      <c r="K138" s="214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21"/>
      <c r="AH138" s="121"/>
      <c r="AI138" s="121"/>
      <c r="AJ138" s="121"/>
      <c r="AK138" s="121"/>
      <c r="AL138" s="121"/>
      <c r="AM138" s="121"/>
      <c r="AN138" s="121"/>
    </row>
    <row r="139" ht="17.25" hidden="1" customHeight="1">
      <c r="A139" s="121"/>
      <c r="B139" s="214"/>
      <c r="C139" s="214"/>
      <c r="D139" s="214"/>
      <c r="E139" s="214"/>
      <c r="F139" s="214"/>
      <c r="G139" s="214"/>
      <c r="H139" s="214"/>
      <c r="I139" s="214"/>
      <c r="J139" s="214"/>
      <c r="K139" s="214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  <c r="AA139" s="121"/>
      <c r="AB139" s="121"/>
      <c r="AC139" s="121"/>
      <c r="AD139" s="121"/>
      <c r="AE139" s="121"/>
      <c r="AF139" s="121"/>
      <c r="AG139" s="121"/>
      <c r="AH139" s="121"/>
      <c r="AI139" s="121"/>
      <c r="AJ139" s="121"/>
      <c r="AK139" s="121"/>
      <c r="AL139" s="121"/>
      <c r="AM139" s="121"/>
      <c r="AN139" s="121"/>
    </row>
    <row r="140" ht="17.25" hidden="1" customHeight="1">
      <c r="A140" s="121"/>
      <c r="B140" s="214"/>
      <c r="C140" s="214"/>
      <c r="D140" s="214"/>
      <c r="E140" s="214"/>
      <c r="F140" s="214"/>
      <c r="G140" s="214"/>
      <c r="H140" s="214"/>
      <c r="I140" s="214"/>
      <c r="J140" s="214"/>
      <c r="K140" s="214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  <c r="AA140" s="121"/>
      <c r="AB140" s="121"/>
      <c r="AC140" s="121"/>
      <c r="AD140" s="121"/>
      <c r="AE140" s="121"/>
      <c r="AF140" s="121"/>
      <c r="AG140" s="121"/>
      <c r="AH140" s="121"/>
      <c r="AI140" s="121"/>
      <c r="AJ140" s="121"/>
      <c r="AK140" s="121"/>
      <c r="AL140" s="121"/>
      <c r="AM140" s="121"/>
      <c r="AN140" s="121"/>
    </row>
  </sheetData>
  <mergeCells count="86">
    <mergeCell ref="AI38:AM38"/>
    <mergeCell ref="AI39:AM39"/>
    <mergeCell ref="B42:B43"/>
    <mergeCell ref="C42:H42"/>
    <mergeCell ref="Q42:V42"/>
    <mergeCell ref="C43:H43"/>
    <mergeCell ref="Q43:V43"/>
    <mergeCell ref="J42:O42"/>
    <mergeCell ref="J43:O43"/>
    <mergeCell ref="C44:H44"/>
    <mergeCell ref="J44:O44"/>
    <mergeCell ref="Q44:V44"/>
    <mergeCell ref="J45:O45"/>
    <mergeCell ref="Q45:V45"/>
    <mergeCell ref="C47:H47"/>
    <mergeCell ref="C49:I49"/>
    <mergeCell ref="B49:B51"/>
    <mergeCell ref="C51:I51"/>
    <mergeCell ref="C52:H52"/>
    <mergeCell ref="B54:B55"/>
    <mergeCell ref="C45:H45"/>
    <mergeCell ref="C46:H46"/>
    <mergeCell ref="J46:O46"/>
    <mergeCell ref="Q46:V46"/>
    <mergeCell ref="J47:O47"/>
    <mergeCell ref="Q47:V47"/>
    <mergeCell ref="Q50:W50"/>
    <mergeCell ref="C55:O55"/>
    <mergeCell ref="C56:O56"/>
    <mergeCell ref="C57:O57"/>
    <mergeCell ref="C58:O58"/>
    <mergeCell ref="C59:O59"/>
    <mergeCell ref="C50:I50"/>
    <mergeCell ref="J50:P50"/>
    <mergeCell ref="J51:P51"/>
    <mergeCell ref="Q51:W51"/>
    <mergeCell ref="J52:O52"/>
    <mergeCell ref="Q52:V52"/>
    <mergeCell ref="C54:P54"/>
    <mergeCell ref="O3:T3"/>
    <mergeCell ref="O4:T4"/>
    <mergeCell ref="B7:B8"/>
    <mergeCell ref="C7:I7"/>
    <mergeCell ref="J7:P7"/>
    <mergeCell ref="Q7:W7"/>
    <mergeCell ref="B2:H2"/>
    <mergeCell ref="AG2:AM5"/>
    <mergeCell ref="B3:H4"/>
    <mergeCell ref="I3:M3"/>
    <mergeCell ref="V3:Z3"/>
    <mergeCell ref="I4:M4"/>
    <mergeCell ref="V4:Z4"/>
    <mergeCell ref="B5:H5"/>
    <mergeCell ref="AB3:AF3"/>
    <mergeCell ref="AB4:AF4"/>
    <mergeCell ref="X7:AD7"/>
    <mergeCell ref="AE7:AG7"/>
    <mergeCell ref="AI7:AJ8"/>
    <mergeCell ref="AK7:AM8"/>
    <mergeCell ref="AK10:AM10"/>
    <mergeCell ref="AK11:AM11"/>
    <mergeCell ref="AK12:AM12"/>
    <mergeCell ref="AK13:AM13"/>
    <mergeCell ref="AK14:AM14"/>
    <mergeCell ref="AK15:AM15"/>
    <mergeCell ref="AK16:AM16"/>
    <mergeCell ref="AK17:AM17"/>
    <mergeCell ref="AK18:AM18"/>
    <mergeCell ref="AK19:AM19"/>
    <mergeCell ref="AK20:AM20"/>
    <mergeCell ref="AK21:AM21"/>
    <mergeCell ref="B36:AG36"/>
    <mergeCell ref="AI36:AM36"/>
    <mergeCell ref="AI37:AM37"/>
    <mergeCell ref="X42:AC42"/>
    <mergeCell ref="X43:AC43"/>
    <mergeCell ref="X44:AC44"/>
    <mergeCell ref="X45:AC45"/>
    <mergeCell ref="X46:AC46"/>
    <mergeCell ref="X47:AC47"/>
    <mergeCell ref="J49:P49"/>
    <mergeCell ref="Q49:W49"/>
    <mergeCell ref="X49:AD49"/>
    <mergeCell ref="X50:AD50"/>
    <mergeCell ref="X51:AD51"/>
    <mergeCell ref="X52:AC52"/>
  </mergeCells>
  <conditionalFormatting sqref="C23:AG23">
    <cfRule type="cellIs" dxfId="0" priority="1" operator="greaterThanOrEqual">
      <formula>"75%"</formula>
    </cfRule>
  </conditionalFormatting>
  <dataValidations>
    <dataValidation type="list" allowBlank="1" showErrorMessage="1" sqref="C37:AG39">
      <formula1>"10,9,8,7,6,5,4,3,2,1"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2" width="25.88"/>
    <col customWidth="1" min="3" max="19" width="4.25"/>
    <col customWidth="1" min="20" max="20" width="6.88"/>
    <col customWidth="1" min="21" max="33" width="4.25"/>
    <col customWidth="1" min="34" max="40" width="4.75"/>
  </cols>
  <sheetData>
    <row r="1" ht="17.25" customHeight="1">
      <c r="A1" s="120"/>
      <c r="B1" s="121"/>
      <c r="C1" s="122"/>
      <c r="D1" s="120"/>
      <c r="E1" s="121"/>
      <c r="F1" s="121"/>
      <c r="G1" s="121"/>
      <c r="H1" s="121"/>
      <c r="I1" s="121"/>
      <c r="J1" s="121"/>
      <c r="K1" s="121"/>
      <c r="L1" s="121"/>
      <c r="M1" s="123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</row>
    <row r="2" ht="17.25" customHeight="1">
      <c r="A2" s="120"/>
      <c r="B2" s="124"/>
      <c r="C2" s="21"/>
      <c r="D2" s="21"/>
      <c r="E2" s="21"/>
      <c r="F2" s="21"/>
      <c r="G2" s="21"/>
      <c r="H2" s="21"/>
      <c r="I2" s="125"/>
      <c r="J2" s="125"/>
      <c r="K2" s="125"/>
      <c r="L2" s="125"/>
      <c r="M2" s="126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21"/>
      <c r="AI2" s="21"/>
      <c r="AJ2" s="21"/>
      <c r="AK2" s="21"/>
      <c r="AL2" s="21"/>
      <c r="AM2" s="42"/>
      <c r="AN2" s="121"/>
    </row>
    <row r="3" ht="17.25" customHeight="1">
      <c r="A3" s="120"/>
      <c r="B3" s="33" t="s">
        <v>33</v>
      </c>
      <c r="I3" s="29" t="s">
        <v>39</v>
      </c>
      <c r="N3" s="127"/>
      <c r="O3" s="29" t="s">
        <v>41</v>
      </c>
      <c r="U3" s="127"/>
      <c r="V3" s="29" t="s">
        <v>42</v>
      </c>
      <c r="AA3" s="127"/>
      <c r="AB3" s="29" t="s">
        <v>26</v>
      </c>
      <c r="AM3" s="105"/>
      <c r="AN3" s="121"/>
    </row>
    <row r="4" ht="17.25" customHeight="1">
      <c r="A4" s="120"/>
      <c r="B4" s="85"/>
      <c r="I4" s="128">
        <f>SUM(countA($B$10:$B$21),$I$62)</f>
        <v>0</v>
      </c>
      <c r="N4" s="129"/>
      <c r="O4" s="130">
        <f>SUM(COUNTIF($C$10:$AG$21, true),$J$62)</f>
        <v>0</v>
      </c>
      <c r="U4" s="129"/>
      <c r="V4" s="131" t="str">
        <f>IFERROR(__xludf.DUMMYFUNCTION("iferror(SPARKLINE($AB$4:$AF$4,{""charttype"",""bar"";""max"",1;""color1"",""#c9e4b2""}))"),"")</f>
        <v/>
      </c>
      <c r="AA4" s="129"/>
      <c r="AB4" s="132">
        <f>$O$4/SUM(COUNTA($C$10:$AG$21),$K$62)</f>
        <v>0</v>
      </c>
      <c r="AM4" s="105"/>
      <c r="AN4" s="121"/>
    </row>
    <row r="5" ht="17.25" customHeight="1">
      <c r="A5" s="120"/>
      <c r="B5" s="133"/>
      <c r="C5" s="37"/>
      <c r="D5" s="37"/>
      <c r="E5" s="37"/>
      <c r="F5" s="37"/>
      <c r="G5" s="37"/>
      <c r="H5" s="37"/>
      <c r="I5" s="134"/>
      <c r="J5" s="134"/>
      <c r="K5" s="134"/>
      <c r="L5" s="134"/>
      <c r="M5" s="135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4"/>
      <c r="AG5" s="37"/>
      <c r="AH5" s="37"/>
      <c r="AI5" s="37"/>
      <c r="AJ5" s="37"/>
      <c r="AK5" s="37"/>
      <c r="AL5" s="37"/>
      <c r="AM5" s="44"/>
      <c r="AN5" s="121"/>
    </row>
    <row r="6" ht="17.25" customHeight="1">
      <c r="A6" s="120"/>
      <c r="B6" s="121"/>
      <c r="C6" s="122"/>
      <c r="D6" s="120"/>
      <c r="E6" s="121"/>
      <c r="F6" s="121"/>
      <c r="G6" s="121"/>
      <c r="H6" s="121"/>
      <c r="I6" s="121"/>
      <c r="J6" s="121"/>
      <c r="K6" s="121"/>
      <c r="L6" s="121"/>
      <c r="M6" s="123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</row>
    <row r="7" ht="17.25" customHeight="1">
      <c r="A7" s="120"/>
      <c r="B7" s="136" t="s">
        <v>43</v>
      </c>
      <c r="C7" s="190" t="s">
        <v>44</v>
      </c>
      <c r="D7" s="46"/>
      <c r="E7" s="46"/>
      <c r="F7" s="46"/>
      <c r="G7" s="46"/>
      <c r="H7" s="46"/>
      <c r="I7" s="47"/>
      <c r="J7" s="216" t="s">
        <v>45</v>
      </c>
      <c r="K7" s="46"/>
      <c r="L7" s="46"/>
      <c r="M7" s="46"/>
      <c r="N7" s="46"/>
      <c r="O7" s="46"/>
      <c r="P7" s="47"/>
      <c r="Q7" s="217" t="s">
        <v>46</v>
      </c>
      <c r="R7" s="46"/>
      <c r="S7" s="46"/>
      <c r="T7" s="46"/>
      <c r="U7" s="46"/>
      <c r="V7" s="46"/>
      <c r="W7" s="47"/>
      <c r="X7" s="218" t="s">
        <v>47</v>
      </c>
      <c r="Y7" s="46"/>
      <c r="Z7" s="46"/>
      <c r="AA7" s="46"/>
      <c r="AB7" s="46"/>
      <c r="AC7" s="46"/>
      <c r="AD7" s="47"/>
      <c r="AE7" s="141"/>
      <c r="AF7" s="46"/>
      <c r="AG7" s="47"/>
      <c r="AH7" s="121"/>
      <c r="AI7" s="62" t="s">
        <v>48</v>
      </c>
      <c r="AJ7" s="42"/>
      <c r="AK7" s="62" t="s">
        <v>49</v>
      </c>
      <c r="AL7" s="21"/>
      <c r="AM7" s="42"/>
      <c r="AN7" s="121"/>
    </row>
    <row r="8" ht="17.25" customHeight="1">
      <c r="A8" s="121"/>
      <c r="B8" s="86"/>
      <c r="C8" s="143">
        <f>weekday(date(Dashboard!$Q$3,$AG$45,C9),1)</f>
        <v>3</v>
      </c>
      <c r="D8" s="143">
        <f>weekday(date(Dashboard!$Q$3,$AG$45,D9),1)</f>
        <v>4</v>
      </c>
      <c r="E8" s="143">
        <f>weekday(date(Dashboard!$Q$3,$AG$45,E9),1)</f>
        <v>5</v>
      </c>
      <c r="F8" s="143">
        <f>weekday(date(Dashboard!$Q$3,$AG$45,F9),1)</f>
        <v>6</v>
      </c>
      <c r="G8" s="143">
        <f>weekday(date(Dashboard!$Q$3,$AG$45,G9),1)</f>
        <v>7</v>
      </c>
      <c r="H8" s="143">
        <f>weekday(date(Dashboard!$Q$3,$AG$45,H9),1)</f>
        <v>1</v>
      </c>
      <c r="I8" s="143">
        <f>weekday(date(Dashboard!$Q$3,$AG$45,I9),1)</f>
        <v>2</v>
      </c>
      <c r="J8" s="144">
        <f>weekday(date(Dashboard!$Q$3,$AG$45,J9),1)</f>
        <v>3</v>
      </c>
      <c r="K8" s="144">
        <f>weekday(date(Dashboard!$Q$3,$AG$45,K9),1)</f>
        <v>4</v>
      </c>
      <c r="L8" s="144">
        <f>weekday(date(Dashboard!$Q$3,$AG$45,L9),1)</f>
        <v>5</v>
      </c>
      <c r="M8" s="144">
        <f>weekday(date(Dashboard!$Q$3,$AG$45,M9),1)</f>
        <v>6</v>
      </c>
      <c r="N8" s="144">
        <f>weekday(date(Dashboard!$Q$3,$AG$45,N9),1)</f>
        <v>7</v>
      </c>
      <c r="O8" s="144">
        <f>weekday(date(Dashboard!$Q$3,$AG$45,O9),1)</f>
        <v>1</v>
      </c>
      <c r="P8" s="144">
        <f>weekday(date(Dashboard!$Q$3,$AG$45,P9),1)</f>
        <v>2</v>
      </c>
      <c r="Q8" s="145">
        <f>weekday(date(Dashboard!$Q$3,$AG$45,Q9),1)</f>
        <v>3</v>
      </c>
      <c r="R8" s="145">
        <f>weekday(date(Dashboard!$Q$3,$AG$45,R9),1)</f>
        <v>4</v>
      </c>
      <c r="S8" s="145">
        <f>weekday(date(Dashboard!$Q$3,$AG$45,S9),1)</f>
        <v>5</v>
      </c>
      <c r="T8" s="145">
        <f>weekday(date(Dashboard!$Q$3,$AG$45,T9),1)</f>
        <v>6</v>
      </c>
      <c r="U8" s="145">
        <f>weekday(date(Dashboard!$Q$3,$AG$45,U9),1)</f>
        <v>7</v>
      </c>
      <c r="V8" s="145">
        <f>weekday(date(Dashboard!$Q$3,$AG$45,V9),1)</f>
        <v>1</v>
      </c>
      <c r="W8" s="145">
        <f>weekday(date(Dashboard!$Q$3,$AG$45,W9),1)</f>
        <v>2</v>
      </c>
      <c r="X8" s="146">
        <f>weekday(date(Dashboard!$Q$3,$AG$45,X9),1)</f>
        <v>3</v>
      </c>
      <c r="Y8" s="146">
        <f>weekday(date(Dashboard!$Q$3,$AG$45,Y9),1)</f>
        <v>4</v>
      </c>
      <c r="Z8" s="146">
        <f>weekday(date(Dashboard!$Q$3,$AG$45,Z9),1)</f>
        <v>5</v>
      </c>
      <c r="AA8" s="146">
        <f>weekday(date(Dashboard!$Q$3,$AG$45,AA9),1)</f>
        <v>6</v>
      </c>
      <c r="AB8" s="146">
        <f>weekday(date(Dashboard!$Q$3,$AG$45,AB9),1)</f>
        <v>7</v>
      </c>
      <c r="AC8" s="146">
        <f>weekday(date(Dashboard!$Q$3,$AG$45,AC9),1)</f>
        <v>1</v>
      </c>
      <c r="AD8" s="146">
        <f>weekday(date(Dashboard!$Q$3,$AG$45,AD9),1)</f>
        <v>2</v>
      </c>
      <c r="AE8" s="147">
        <f>weekday(date(Dashboard!$Q$3,$AG$45,AE9),1)</f>
        <v>3</v>
      </c>
      <c r="AF8" s="147">
        <f>weekday(date(Dashboard!$Q$3,$AG$45,AF9),1)</f>
        <v>4</v>
      </c>
      <c r="AG8" s="148">
        <f>weekday(date(Dashboard!$Q$3,$AG$45,AG9),1)</f>
        <v>5</v>
      </c>
      <c r="AH8" s="149"/>
      <c r="AI8" s="43"/>
      <c r="AJ8" s="44"/>
      <c r="AK8" s="43"/>
      <c r="AL8" s="37"/>
      <c r="AM8" s="44"/>
      <c r="AN8" s="149"/>
    </row>
    <row r="9" ht="17.25" customHeight="1">
      <c r="A9" s="121"/>
      <c r="B9" s="150">
        <f>TODAY()</f>
        <v>46025</v>
      </c>
      <c r="C9" s="151">
        <v>1.0</v>
      </c>
      <c r="D9" s="151">
        <v>2.0</v>
      </c>
      <c r="E9" s="151">
        <v>3.0</v>
      </c>
      <c r="F9" s="151">
        <v>4.0</v>
      </c>
      <c r="G9" s="151">
        <v>5.0</v>
      </c>
      <c r="H9" s="151">
        <v>6.0</v>
      </c>
      <c r="I9" s="151">
        <v>7.0</v>
      </c>
      <c r="J9" s="152">
        <v>8.0</v>
      </c>
      <c r="K9" s="152">
        <v>9.0</v>
      </c>
      <c r="L9" s="152">
        <v>10.0</v>
      </c>
      <c r="M9" s="152">
        <v>11.0</v>
      </c>
      <c r="N9" s="152">
        <v>12.0</v>
      </c>
      <c r="O9" s="152">
        <v>13.0</v>
      </c>
      <c r="P9" s="152">
        <v>14.0</v>
      </c>
      <c r="Q9" s="153">
        <v>15.0</v>
      </c>
      <c r="R9" s="153">
        <v>16.0</v>
      </c>
      <c r="S9" s="153">
        <v>17.0</v>
      </c>
      <c r="T9" s="153">
        <v>18.0</v>
      </c>
      <c r="U9" s="153">
        <v>19.0</v>
      </c>
      <c r="V9" s="153">
        <v>20.0</v>
      </c>
      <c r="W9" s="153">
        <v>21.0</v>
      </c>
      <c r="X9" s="154">
        <v>22.0</v>
      </c>
      <c r="Y9" s="154">
        <v>23.0</v>
      </c>
      <c r="Z9" s="154">
        <v>24.0</v>
      </c>
      <c r="AA9" s="154">
        <v>25.0</v>
      </c>
      <c r="AB9" s="154">
        <v>26.0</v>
      </c>
      <c r="AC9" s="154">
        <v>27.0</v>
      </c>
      <c r="AD9" s="154">
        <v>28.0</v>
      </c>
      <c r="AE9" s="155">
        <v>29.0</v>
      </c>
      <c r="AF9" s="155">
        <v>30.0</v>
      </c>
      <c r="AG9" s="155">
        <v>31.0</v>
      </c>
      <c r="AH9" s="149"/>
      <c r="AI9" s="156" t="s">
        <v>14</v>
      </c>
      <c r="AJ9" s="156" t="s">
        <v>50</v>
      </c>
      <c r="AK9" s="157"/>
      <c r="AL9" s="158"/>
      <c r="AM9" s="159"/>
      <c r="AN9" s="149"/>
    </row>
    <row r="10" ht="17.25" customHeight="1">
      <c r="A10" s="121"/>
      <c r="B10" s="160"/>
      <c r="C10" s="161" t="b">
        <v>0</v>
      </c>
      <c r="D10" s="162" t="b">
        <v>0</v>
      </c>
      <c r="E10" s="162" t="b">
        <v>0</v>
      </c>
      <c r="F10" s="162" t="b">
        <v>0</v>
      </c>
      <c r="G10" s="162" t="b">
        <v>0</v>
      </c>
      <c r="H10" s="162" t="b">
        <v>0</v>
      </c>
      <c r="I10" s="162" t="b">
        <v>0</v>
      </c>
      <c r="J10" s="163" t="b">
        <v>0</v>
      </c>
      <c r="K10" s="163" t="b">
        <v>0</v>
      </c>
      <c r="L10" s="163" t="b">
        <v>0</v>
      </c>
      <c r="M10" s="163" t="b">
        <v>0</v>
      </c>
      <c r="N10" s="163" t="b">
        <v>0</v>
      </c>
      <c r="O10" s="163" t="b">
        <v>0</v>
      </c>
      <c r="P10" s="163" t="b">
        <v>0</v>
      </c>
      <c r="Q10" s="164" t="b">
        <v>0</v>
      </c>
      <c r="R10" s="164" t="b">
        <v>0</v>
      </c>
      <c r="S10" s="164" t="b">
        <v>0</v>
      </c>
      <c r="T10" s="164" t="b">
        <v>0</v>
      </c>
      <c r="U10" s="164" t="b">
        <v>0</v>
      </c>
      <c r="V10" s="164" t="b">
        <v>0</v>
      </c>
      <c r="W10" s="164" t="b">
        <v>0</v>
      </c>
      <c r="X10" s="165" t="b">
        <v>0</v>
      </c>
      <c r="Y10" s="165" t="b">
        <v>0</v>
      </c>
      <c r="Z10" s="165" t="b">
        <v>0</v>
      </c>
      <c r="AA10" s="165" t="b">
        <v>0</v>
      </c>
      <c r="AB10" s="165" t="b">
        <v>0</v>
      </c>
      <c r="AC10" s="165" t="b">
        <v>0</v>
      </c>
      <c r="AD10" s="165" t="b">
        <v>0</v>
      </c>
      <c r="AE10" s="166" t="b">
        <v>0</v>
      </c>
      <c r="AF10" s="166" t="b">
        <v>0</v>
      </c>
      <c r="AG10" s="166" t="b">
        <v>0</v>
      </c>
      <c r="AH10" s="149"/>
      <c r="AI10" s="167"/>
      <c r="AJ10" s="168">
        <f t="array" ref="AJ10:AJ21">MMULT(N($C$10:$AG$21), TRANSPOSE(COLUMN($C$10:$AG$21)^0))
</f>
        <v>0</v>
      </c>
      <c r="AK10" s="169" t="str">
        <f>IFERROR(__xludf.DUMMYFUNCTION("iferror(SPARKLINE(AJ10/AI10,{""charttype"",""bar"";""max"",1;""color1"",""#c9e4b2""}))"),"")</f>
        <v/>
      </c>
      <c r="AL10" s="46"/>
      <c r="AM10" s="47"/>
      <c r="AN10" s="170"/>
    </row>
    <row r="11" ht="17.25" customHeight="1">
      <c r="A11" s="121"/>
      <c r="B11" s="160"/>
      <c r="C11" s="161" t="b">
        <v>0</v>
      </c>
      <c r="D11" s="162" t="b">
        <v>0</v>
      </c>
      <c r="E11" s="162" t="b">
        <v>0</v>
      </c>
      <c r="F11" s="162" t="b">
        <v>0</v>
      </c>
      <c r="G11" s="162" t="b">
        <v>0</v>
      </c>
      <c r="H11" s="162" t="b">
        <v>0</v>
      </c>
      <c r="I11" s="162" t="b">
        <v>0</v>
      </c>
      <c r="J11" s="163" t="b">
        <v>0</v>
      </c>
      <c r="K11" s="163" t="b">
        <v>0</v>
      </c>
      <c r="L11" s="163" t="b">
        <v>0</v>
      </c>
      <c r="M11" s="163" t="b">
        <v>0</v>
      </c>
      <c r="N11" s="163" t="b">
        <v>0</v>
      </c>
      <c r="O11" s="163" t="b">
        <v>0</v>
      </c>
      <c r="P11" s="163" t="b">
        <v>0</v>
      </c>
      <c r="Q11" s="164" t="b">
        <v>0</v>
      </c>
      <c r="R11" s="164" t="b">
        <v>0</v>
      </c>
      <c r="S11" s="164" t="b">
        <v>0</v>
      </c>
      <c r="T11" s="164" t="b">
        <v>0</v>
      </c>
      <c r="U11" s="164" t="b">
        <v>0</v>
      </c>
      <c r="V11" s="164" t="b">
        <v>0</v>
      </c>
      <c r="W11" s="164" t="b">
        <v>0</v>
      </c>
      <c r="X11" s="165" t="b">
        <v>0</v>
      </c>
      <c r="Y11" s="165" t="b">
        <v>0</v>
      </c>
      <c r="Z11" s="165" t="b">
        <v>0</v>
      </c>
      <c r="AA11" s="165" t="b">
        <v>0</v>
      </c>
      <c r="AB11" s="165" t="b">
        <v>0</v>
      </c>
      <c r="AC11" s="165" t="b">
        <v>0</v>
      </c>
      <c r="AD11" s="165" t="b">
        <v>0</v>
      </c>
      <c r="AE11" s="166" t="b">
        <v>0</v>
      </c>
      <c r="AF11" s="166" t="b">
        <v>0</v>
      </c>
      <c r="AG11" s="166" t="b">
        <v>0</v>
      </c>
      <c r="AH11" s="149"/>
      <c r="AI11" s="167"/>
      <c r="AJ11" s="160">
        <v>0.0</v>
      </c>
      <c r="AK11" s="169" t="str">
        <f>IFERROR(__xludf.DUMMYFUNCTION("iferror(SPARKLINE(AJ11/AI11,{""charttype"",""bar"";""max"",1;""color1"",""#c9e4b2""}))"),"")</f>
        <v/>
      </c>
      <c r="AL11" s="46"/>
      <c r="AM11" s="47"/>
      <c r="AN11" s="170"/>
    </row>
    <row r="12" ht="17.25" customHeight="1">
      <c r="A12" s="121"/>
      <c r="B12" s="160"/>
      <c r="C12" s="161" t="b">
        <v>0</v>
      </c>
      <c r="D12" s="162" t="b">
        <v>0</v>
      </c>
      <c r="E12" s="162" t="b">
        <v>0</v>
      </c>
      <c r="F12" s="162" t="b">
        <v>0</v>
      </c>
      <c r="G12" s="162" t="b">
        <v>0</v>
      </c>
      <c r="H12" s="162" t="b">
        <v>0</v>
      </c>
      <c r="I12" s="162" t="b">
        <v>0</v>
      </c>
      <c r="J12" s="163" t="b">
        <v>0</v>
      </c>
      <c r="K12" s="163" t="b">
        <v>0</v>
      </c>
      <c r="L12" s="163" t="b">
        <v>0</v>
      </c>
      <c r="M12" s="163" t="b">
        <v>0</v>
      </c>
      <c r="N12" s="163" t="b">
        <v>0</v>
      </c>
      <c r="O12" s="163" t="b">
        <v>0</v>
      </c>
      <c r="P12" s="163" t="b">
        <v>0</v>
      </c>
      <c r="Q12" s="164" t="b">
        <v>0</v>
      </c>
      <c r="R12" s="164" t="b">
        <v>0</v>
      </c>
      <c r="S12" s="164" t="b">
        <v>0</v>
      </c>
      <c r="T12" s="164" t="b">
        <v>0</v>
      </c>
      <c r="U12" s="164" t="b">
        <v>0</v>
      </c>
      <c r="V12" s="164" t="b">
        <v>0</v>
      </c>
      <c r="W12" s="164" t="b">
        <v>0</v>
      </c>
      <c r="X12" s="165" t="b">
        <v>0</v>
      </c>
      <c r="Y12" s="165" t="b">
        <v>0</v>
      </c>
      <c r="Z12" s="165" t="b">
        <v>0</v>
      </c>
      <c r="AA12" s="165" t="b">
        <v>0</v>
      </c>
      <c r="AB12" s="165" t="b">
        <v>0</v>
      </c>
      <c r="AC12" s="165" t="b">
        <v>0</v>
      </c>
      <c r="AD12" s="165" t="b">
        <v>0</v>
      </c>
      <c r="AE12" s="166" t="b">
        <v>0</v>
      </c>
      <c r="AF12" s="166" t="b">
        <v>0</v>
      </c>
      <c r="AG12" s="166" t="b">
        <v>0</v>
      </c>
      <c r="AH12" s="149"/>
      <c r="AI12" s="167"/>
      <c r="AJ12" s="160">
        <v>0.0</v>
      </c>
      <c r="AK12" s="169" t="str">
        <f>IFERROR(__xludf.DUMMYFUNCTION("iferror(SPARKLINE(AJ12/AI12,{""charttype"",""bar"";""max"",1;""color1"",""#c9e4b2""}))"),"")</f>
        <v/>
      </c>
      <c r="AL12" s="46"/>
      <c r="AM12" s="47"/>
      <c r="AN12" s="170"/>
    </row>
    <row r="13" ht="17.25" customHeight="1">
      <c r="A13" s="121"/>
      <c r="B13" s="160"/>
      <c r="C13" s="161" t="b">
        <v>0</v>
      </c>
      <c r="D13" s="162" t="b">
        <v>0</v>
      </c>
      <c r="E13" s="162" t="b">
        <v>0</v>
      </c>
      <c r="F13" s="162" t="b">
        <v>0</v>
      </c>
      <c r="G13" s="162" t="b">
        <v>0</v>
      </c>
      <c r="H13" s="162" t="b">
        <v>0</v>
      </c>
      <c r="I13" s="162" t="b">
        <v>0</v>
      </c>
      <c r="J13" s="163" t="b">
        <v>0</v>
      </c>
      <c r="K13" s="163" t="b">
        <v>0</v>
      </c>
      <c r="L13" s="163" t="b">
        <v>0</v>
      </c>
      <c r="M13" s="163" t="b">
        <v>0</v>
      </c>
      <c r="N13" s="163" t="b">
        <v>0</v>
      </c>
      <c r="O13" s="163" t="b">
        <v>0</v>
      </c>
      <c r="P13" s="163" t="b">
        <v>0</v>
      </c>
      <c r="Q13" s="164" t="b">
        <v>0</v>
      </c>
      <c r="R13" s="164" t="b">
        <v>0</v>
      </c>
      <c r="S13" s="164" t="b">
        <v>0</v>
      </c>
      <c r="T13" s="164" t="b">
        <v>0</v>
      </c>
      <c r="U13" s="164" t="b">
        <v>0</v>
      </c>
      <c r="V13" s="164" t="b">
        <v>0</v>
      </c>
      <c r="W13" s="164" t="b">
        <v>0</v>
      </c>
      <c r="X13" s="165" t="b">
        <v>0</v>
      </c>
      <c r="Y13" s="165" t="b">
        <v>0</v>
      </c>
      <c r="Z13" s="165" t="b">
        <v>0</v>
      </c>
      <c r="AA13" s="165" t="b">
        <v>0</v>
      </c>
      <c r="AB13" s="165" t="b">
        <v>0</v>
      </c>
      <c r="AC13" s="165" t="b">
        <v>0</v>
      </c>
      <c r="AD13" s="165" t="b">
        <v>0</v>
      </c>
      <c r="AE13" s="166" t="b">
        <v>0</v>
      </c>
      <c r="AF13" s="166" t="b">
        <v>0</v>
      </c>
      <c r="AG13" s="166" t="b">
        <v>0</v>
      </c>
      <c r="AH13" s="149"/>
      <c r="AI13" s="167"/>
      <c r="AJ13" s="160">
        <v>0.0</v>
      </c>
      <c r="AK13" s="169" t="str">
        <f>IFERROR(__xludf.DUMMYFUNCTION("iferror(SPARKLINE(AJ13/AI13,{""charttype"",""bar"";""max"",1;""color1"",""#c9e4b2""}))"),"")</f>
        <v/>
      </c>
      <c r="AL13" s="46"/>
      <c r="AM13" s="47"/>
      <c r="AN13" s="170"/>
    </row>
    <row r="14" ht="17.25" customHeight="1">
      <c r="A14" s="121"/>
      <c r="B14" s="160"/>
      <c r="C14" s="161" t="b">
        <v>0</v>
      </c>
      <c r="D14" s="162" t="b">
        <v>0</v>
      </c>
      <c r="E14" s="162" t="b">
        <v>0</v>
      </c>
      <c r="F14" s="162" t="b">
        <v>0</v>
      </c>
      <c r="G14" s="162" t="b">
        <v>0</v>
      </c>
      <c r="H14" s="162" t="b">
        <v>0</v>
      </c>
      <c r="I14" s="162" t="b">
        <v>0</v>
      </c>
      <c r="J14" s="163" t="b">
        <v>0</v>
      </c>
      <c r="K14" s="163" t="b">
        <v>0</v>
      </c>
      <c r="L14" s="163" t="b">
        <v>0</v>
      </c>
      <c r="M14" s="163" t="b">
        <v>0</v>
      </c>
      <c r="N14" s="163" t="b">
        <v>0</v>
      </c>
      <c r="O14" s="163" t="b">
        <v>0</v>
      </c>
      <c r="P14" s="163" t="b">
        <v>0</v>
      </c>
      <c r="Q14" s="164" t="b">
        <v>0</v>
      </c>
      <c r="R14" s="164" t="b">
        <v>0</v>
      </c>
      <c r="S14" s="164" t="b">
        <v>0</v>
      </c>
      <c r="T14" s="164" t="b">
        <v>0</v>
      </c>
      <c r="U14" s="164" t="b">
        <v>0</v>
      </c>
      <c r="V14" s="164" t="b">
        <v>0</v>
      </c>
      <c r="W14" s="164" t="b">
        <v>0</v>
      </c>
      <c r="X14" s="165" t="b">
        <v>0</v>
      </c>
      <c r="Y14" s="165" t="b">
        <v>0</v>
      </c>
      <c r="Z14" s="165" t="b">
        <v>0</v>
      </c>
      <c r="AA14" s="165" t="b">
        <v>0</v>
      </c>
      <c r="AB14" s="165" t="b">
        <v>0</v>
      </c>
      <c r="AC14" s="165" t="b">
        <v>0</v>
      </c>
      <c r="AD14" s="165" t="b">
        <v>0</v>
      </c>
      <c r="AE14" s="166" t="b">
        <v>0</v>
      </c>
      <c r="AF14" s="166" t="b">
        <v>0</v>
      </c>
      <c r="AG14" s="166" t="b">
        <v>0</v>
      </c>
      <c r="AH14" s="149"/>
      <c r="AI14" s="167"/>
      <c r="AJ14" s="160">
        <v>0.0</v>
      </c>
      <c r="AK14" s="169" t="str">
        <f>IFERROR(__xludf.DUMMYFUNCTION("iferror(SPARKLINE(AJ14/AI14,{""charttype"",""bar"";""max"",1;""color1"",""#c9e4b2""}))"),"")</f>
        <v/>
      </c>
      <c r="AL14" s="46"/>
      <c r="AM14" s="47"/>
      <c r="AN14" s="170"/>
    </row>
    <row r="15" ht="17.25" customHeight="1">
      <c r="A15" s="121"/>
      <c r="B15" s="160"/>
      <c r="C15" s="161" t="b">
        <v>0</v>
      </c>
      <c r="D15" s="162" t="b">
        <v>0</v>
      </c>
      <c r="E15" s="162" t="b">
        <v>0</v>
      </c>
      <c r="F15" s="162" t="b">
        <v>0</v>
      </c>
      <c r="G15" s="162" t="b">
        <v>0</v>
      </c>
      <c r="H15" s="162" t="b">
        <v>0</v>
      </c>
      <c r="I15" s="162" t="b">
        <v>0</v>
      </c>
      <c r="J15" s="163" t="b">
        <v>0</v>
      </c>
      <c r="K15" s="163" t="b">
        <v>0</v>
      </c>
      <c r="L15" s="163" t="b">
        <v>0</v>
      </c>
      <c r="M15" s="163" t="b">
        <v>0</v>
      </c>
      <c r="N15" s="163" t="b">
        <v>0</v>
      </c>
      <c r="O15" s="163" t="b">
        <v>0</v>
      </c>
      <c r="P15" s="163" t="b">
        <v>0</v>
      </c>
      <c r="Q15" s="164" t="b">
        <v>0</v>
      </c>
      <c r="R15" s="164" t="b">
        <v>0</v>
      </c>
      <c r="S15" s="164" t="b">
        <v>0</v>
      </c>
      <c r="T15" s="164" t="b">
        <v>0</v>
      </c>
      <c r="U15" s="164" t="b">
        <v>0</v>
      </c>
      <c r="V15" s="164" t="b">
        <v>0</v>
      </c>
      <c r="W15" s="164" t="b">
        <v>0</v>
      </c>
      <c r="X15" s="165" t="b">
        <v>0</v>
      </c>
      <c r="Y15" s="165" t="b">
        <v>0</v>
      </c>
      <c r="Z15" s="165" t="b">
        <v>0</v>
      </c>
      <c r="AA15" s="165" t="b">
        <v>0</v>
      </c>
      <c r="AB15" s="165" t="b">
        <v>0</v>
      </c>
      <c r="AC15" s="165" t="b">
        <v>0</v>
      </c>
      <c r="AD15" s="165" t="b">
        <v>0</v>
      </c>
      <c r="AE15" s="166" t="b">
        <v>0</v>
      </c>
      <c r="AF15" s="166" t="b">
        <v>0</v>
      </c>
      <c r="AG15" s="166" t="b">
        <v>0</v>
      </c>
      <c r="AH15" s="149"/>
      <c r="AI15" s="167"/>
      <c r="AJ15" s="160">
        <v>0.0</v>
      </c>
      <c r="AK15" s="169" t="str">
        <f>IFERROR(__xludf.DUMMYFUNCTION("iferror(SPARKLINE(AJ15/AI15,{""charttype"",""bar"";""max"",1;""color1"",""#c9e4b2""}))"),"")</f>
        <v/>
      </c>
      <c r="AL15" s="46"/>
      <c r="AM15" s="47"/>
      <c r="AN15" s="170"/>
    </row>
    <row r="16" ht="17.25" customHeight="1">
      <c r="A16" s="121"/>
      <c r="B16" s="160"/>
      <c r="C16" s="161" t="b">
        <v>0</v>
      </c>
      <c r="D16" s="162" t="b">
        <v>0</v>
      </c>
      <c r="E16" s="162" t="b">
        <v>0</v>
      </c>
      <c r="F16" s="162" t="b">
        <v>0</v>
      </c>
      <c r="G16" s="162" t="b">
        <v>0</v>
      </c>
      <c r="H16" s="162" t="b">
        <v>0</v>
      </c>
      <c r="I16" s="162" t="b">
        <v>0</v>
      </c>
      <c r="J16" s="163" t="b">
        <v>0</v>
      </c>
      <c r="K16" s="163" t="b">
        <v>0</v>
      </c>
      <c r="L16" s="163" t="b">
        <v>0</v>
      </c>
      <c r="M16" s="163" t="b">
        <v>0</v>
      </c>
      <c r="N16" s="163" t="b">
        <v>0</v>
      </c>
      <c r="O16" s="163" t="b">
        <v>0</v>
      </c>
      <c r="P16" s="163" t="b">
        <v>0</v>
      </c>
      <c r="Q16" s="164" t="b">
        <v>0</v>
      </c>
      <c r="R16" s="164" t="b">
        <v>0</v>
      </c>
      <c r="S16" s="164" t="b">
        <v>0</v>
      </c>
      <c r="T16" s="164" t="b">
        <v>0</v>
      </c>
      <c r="U16" s="164" t="b">
        <v>0</v>
      </c>
      <c r="V16" s="164" t="b">
        <v>0</v>
      </c>
      <c r="W16" s="164" t="b">
        <v>0</v>
      </c>
      <c r="X16" s="165" t="b">
        <v>0</v>
      </c>
      <c r="Y16" s="165" t="b">
        <v>0</v>
      </c>
      <c r="Z16" s="165" t="b">
        <v>0</v>
      </c>
      <c r="AA16" s="165" t="b">
        <v>0</v>
      </c>
      <c r="AB16" s="165" t="b">
        <v>0</v>
      </c>
      <c r="AC16" s="165" t="b">
        <v>0</v>
      </c>
      <c r="AD16" s="165" t="b">
        <v>0</v>
      </c>
      <c r="AE16" s="166" t="b">
        <v>0</v>
      </c>
      <c r="AF16" s="166" t="b">
        <v>0</v>
      </c>
      <c r="AG16" s="166" t="b">
        <v>0</v>
      </c>
      <c r="AH16" s="149"/>
      <c r="AI16" s="167"/>
      <c r="AJ16" s="160">
        <v>0.0</v>
      </c>
      <c r="AK16" s="169" t="str">
        <f>IFERROR(__xludf.DUMMYFUNCTION("iferror(SPARKLINE(AJ16/AI16,{""charttype"",""bar"";""max"",1;""color1"",""#c9e4b2""}))"),"")</f>
        <v/>
      </c>
      <c r="AL16" s="46"/>
      <c r="AM16" s="47"/>
      <c r="AN16" s="170"/>
    </row>
    <row r="17" ht="17.25" customHeight="1">
      <c r="A17" s="121"/>
      <c r="B17" s="160"/>
      <c r="C17" s="161" t="b">
        <v>0</v>
      </c>
      <c r="D17" s="162" t="b">
        <v>0</v>
      </c>
      <c r="E17" s="162" t="b">
        <v>0</v>
      </c>
      <c r="F17" s="162" t="b">
        <v>0</v>
      </c>
      <c r="G17" s="162" t="b">
        <v>0</v>
      </c>
      <c r="H17" s="162" t="b">
        <v>0</v>
      </c>
      <c r="I17" s="162" t="b">
        <v>0</v>
      </c>
      <c r="J17" s="163" t="b">
        <v>0</v>
      </c>
      <c r="K17" s="163" t="b">
        <v>0</v>
      </c>
      <c r="L17" s="163" t="b">
        <v>0</v>
      </c>
      <c r="M17" s="163" t="b">
        <v>0</v>
      </c>
      <c r="N17" s="163" t="b">
        <v>0</v>
      </c>
      <c r="O17" s="163" t="b">
        <v>0</v>
      </c>
      <c r="P17" s="163" t="b">
        <v>0</v>
      </c>
      <c r="Q17" s="164" t="b">
        <v>0</v>
      </c>
      <c r="R17" s="164" t="b">
        <v>0</v>
      </c>
      <c r="S17" s="164" t="b">
        <v>0</v>
      </c>
      <c r="T17" s="164" t="b">
        <v>0</v>
      </c>
      <c r="U17" s="164" t="b">
        <v>0</v>
      </c>
      <c r="V17" s="164" t="b">
        <v>0</v>
      </c>
      <c r="W17" s="164" t="b">
        <v>0</v>
      </c>
      <c r="X17" s="165" t="b">
        <v>0</v>
      </c>
      <c r="Y17" s="165" t="b">
        <v>0</v>
      </c>
      <c r="Z17" s="165" t="b">
        <v>0</v>
      </c>
      <c r="AA17" s="165" t="b">
        <v>0</v>
      </c>
      <c r="AB17" s="165" t="b">
        <v>0</v>
      </c>
      <c r="AC17" s="165" t="b">
        <v>0</v>
      </c>
      <c r="AD17" s="165" t="b">
        <v>0</v>
      </c>
      <c r="AE17" s="166" t="b">
        <v>0</v>
      </c>
      <c r="AF17" s="166" t="b">
        <v>0</v>
      </c>
      <c r="AG17" s="166" t="b">
        <v>0</v>
      </c>
      <c r="AH17" s="149"/>
      <c r="AI17" s="167"/>
      <c r="AJ17" s="160">
        <v>0.0</v>
      </c>
      <c r="AK17" s="169" t="str">
        <f>IFERROR(__xludf.DUMMYFUNCTION("iferror(SPARKLINE(AJ17/AI17,{""charttype"",""bar"";""max"",1;""color1"",""#c9e4b2""}))"),"")</f>
        <v/>
      </c>
      <c r="AL17" s="46"/>
      <c r="AM17" s="47"/>
      <c r="AN17" s="170"/>
    </row>
    <row r="18" ht="17.25" customHeight="1">
      <c r="A18" s="121"/>
      <c r="B18" s="160"/>
      <c r="C18" s="161" t="b">
        <v>0</v>
      </c>
      <c r="D18" s="162" t="b">
        <v>0</v>
      </c>
      <c r="E18" s="162" t="b">
        <v>0</v>
      </c>
      <c r="F18" s="162" t="b">
        <v>0</v>
      </c>
      <c r="G18" s="162" t="b">
        <v>0</v>
      </c>
      <c r="H18" s="162" t="b">
        <v>0</v>
      </c>
      <c r="I18" s="162" t="b">
        <v>0</v>
      </c>
      <c r="J18" s="163" t="b">
        <v>0</v>
      </c>
      <c r="K18" s="163" t="b">
        <v>0</v>
      </c>
      <c r="L18" s="163" t="b">
        <v>0</v>
      </c>
      <c r="M18" s="163" t="b">
        <v>0</v>
      </c>
      <c r="N18" s="163" t="b">
        <v>0</v>
      </c>
      <c r="O18" s="163" t="b">
        <v>0</v>
      </c>
      <c r="P18" s="163" t="b">
        <v>0</v>
      </c>
      <c r="Q18" s="164" t="b">
        <v>0</v>
      </c>
      <c r="R18" s="164" t="b">
        <v>0</v>
      </c>
      <c r="S18" s="164" t="b">
        <v>0</v>
      </c>
      <c r="T18" s="164" t="b">
        <v>0</v>
      </c>
      <c r="U18" s="164" t="b">
        <v>0</v>
      </c>
      <c r="V18" s="164" t="b">
        <v>0</v>
      </c>
      <c r="W18" s="164" t="b">
        <v>0</v>
      </c>
      <c r="X18" s="165" t="b">
        <v>0</v>
      </c>
      <c r="Y18" s="165" t="b">
        <v>0</v>
      </c>
      <c r="Z18" s="165" t="b">
        <v>0</v>
      </c>
      <c r="AA18" s="165" t="b">
        <v>0</v>
      </c>
      <c r="AB18" s="165" t="b">
        <v>0</v>
      </c>
      <c r="AC18" s="165" t="b">
        <v>0</v>
      </c>
      <c r="AD18" s="165" t="b">
        <v>0</v>
      </c>
      <c r="AE18" s="166" t="b">
        <v>0</v>
      </c>
      <c r="AF18" s="166" t="b">
        <v>0</v>
      </c>
      <c r="AG18" s="166" t="b">
        <v>0</v>
      </c>
      <c r="AH18" s="149"/>
      <c r="AI18" s="167"/>
      <c r="AJ18" s="160">
        <v>0.0</v>
      </c>
      <c r="AK18" s="169" t="str">
        <f>IFERROR(__xludf.DUMMYFUNCTION("iferror(SPARKLINE(AJ18/AI18,{""charttype"",""bar"";""max"",1;""color1"",""#c9e4b2""}))"),"")</f>
        <v/>
      </c>
      <c r="AL18" s="46"/>
      <c r="AM18" s="47"/>
      <c r="AN18" s="170"/>
    </row>
    <row r="19" ht="17.25" customHeight="1">
      <c r="A19" s="121"/>
      <c r="B19" s="160"/>
      <c r="C19" s="161" t="b">
        <v>0</v>
      </c>
      <c r="D19" s="162" t="b">
        <v>0</v>
      </c>
      <c r="E19" s="162" t="b">
        <v>0</v>
      </c>
      <c r="F19" s="162" t="b">
        <v>0</v>
      </c>
      <c r="G19" s="162" t="b">
        <v>0</v>
      </c>
      <c r="H19" s="162" t="b">
        <v>0</v>
      </c>
      <c r="I19" s="162" t="b">
        <v>0</v>
      </c>
      <c r="J19" s="163" t="b">
        <v>0</v>
      </c>
      <c r="K19" s="163" t="b">
        <v>0</v>
      </c>
      <c r="L19" s="163" t="b">
        <v>0</v>
      </c>
      <c r="M19" s="163" t="b">
        <v>0</v>
      </c>
      <c r="N19" s="163" t="b">
        <v>0</v>
      </c>
      <c r="O19" s="163" t="b">
        <v>0</v>
      </c>
      <c r="P19" s="163" t="b">
        <v>0</v>
      </c>
      <c r="Q19" s="164" t="b">
        <v>0</v>
      </c>
      <c r="R19" s="164" t="b">
        <v>0</v>
      </c>
      <c r="S19" s="164" t="b">
        <v>0</v>
      </c>
      <c r="T19" s="164" t="b">
        <v>0</v>
      </c>
      <c r="U19" s="164" t="b">
        <v>0</v>
      </c>
      <c r="V19" s="164" t="b">
        <v>0</v>
      </c>
      <c r="W19" s="164" t="b">
        <v>0</v>
      </c>
      <c r="X19" s="165" t="b">
        <v>0</v>
      </c>
      <c r="Y19" s="165" t="b">
        <v>0</v>
      </c>
      <c r="Z19" s="165" t="b">
        <v>0</v>
      </c>
      <c r="AA19" s="165" t="b">
        <v>0</v>
      </c>
      <c r="AB19" s="165" t="b">
        <v>0</v>
      </c>
      <c r="AC19" s="165" t="b">
        <v>0</v>
      </c>
      <c r="AD19" s="165" t="b">
        <v>0</v>
      </c>
      <c r="AE19" s="166" t="b">
        <v>0</v>
      </c>
      <c r="AF19" s="166" t="b">
        <v>0</v>
      </c>
      <c r="AG19" s="166" t="b">
        <v>0</v>
      </c>
      <c r="AH19" s="149"/>
      <c r="AI19" s="167"/>
      <c r="AJ19" s="160">
        <v>0.0</v>
      </c>
      <c r="AK19" s="169" t="str">
        <f>IFERROR(__xludf.DUMMYFUNCTION("iferror(SPARKLINE(AJ19/AI19,{""charttype"",""bar"";""max"",1;""color1"",""#c9e4b2""}))"),"")</f>
        <v/>
      </c>
      <c r="AL19" s="46"/>
      <c r="AM19" s="47"/>
      <c r="AN19" s="170"/>
    </row>
    <row r="20" ht="17.25" customHeight="1">
      <c r="A20" s="121"/>
      <c r="B20" s="160"/>
      <c r="C20" s="161" t="b">
        <v>0</v>
      </c>
      <c r="D20" s="162" t="b">
        <v>0</v>
      </c>
      <c r="E20" s="162" t="b">
        <v>0</v>
      </c>
      <c r="F20" s="162" t="b">
        <v>0</v>
      </c>
      <c r="G20" s="162" t="b">
        <v>0</v>
      </c>
      <c r="H20" s="162" t="b">
        <v>0</v>
      </c>
      <c r="I20" s="162" t="b">
        <v>0</v>
      </c>
      <c r="J20" s="163" t="b">
        <v>0</v>
      </c>
      <c r="K20" s="163" t="b">
        <v>0</v>
      </c>
      <c r="L20" s="163" t="b">
        <v>0</v>
      </c>
      <c r="M20" s="163" t="b">
        <v>0</v>
      </c>
      <c r="N20" s="163" t="b">
        <v>0</v>
      </c>
      <c r="O20" s="163" t="b">
        <v>0</v>
      </c>
      <c r="P20" s="163" t="b">
        <v>0</v>
      </c>
      <c r="Q20" s="164" t="b">
        <v>0</v>
      </c>
      <c r="R20" s="164" t="b">
        <v>0</v>
      </c>
      <c r="S20" s="164" t="b">
        <v>0</v>
      </c>
      <c r="T20" s="164" t="b">
        <v>0</v>
      </c>
      <c r="U20" s="164" t="b">
        <v>0</v>
      </c>
      <c r="V20" s="164" t="b">
        <v>0</v>
      </c>
      <c r="W20" s="164" t="b">
        <v>0</v>
      </c>
      <c r="X20" s="165" t="b">
        <v>0</v>
      </c>
      <c r="Y20" s="165" t="b">
        <v>0</v>
      </c>
      <c r="Z20" s="165" t="b">
        <v>0</v>
      </c>
      <c r="AA20" s="165" t="b">
        <v>0</v>
      </c>
      <c r="AB20" s="165" t="b">
        <v>0</v>
      </c>
      <c r="AC20" s="165" t="b">
        <v>0</v>
      </c>
      <c r="AD20" s="165" t="b">
        <v>0</v>
      </c>
      <c r="AE20" s="166" t="b">
        <v>0</v>
      </c>
      <c r="AF20" s="166" t="b">
        <v>0</v>
      </c>
      <c r="AG20" s="166" t="b">
        <v>0</v>
      </c>
      <c r="AH20" s="149"/>
      <c r="AI20" s="167"/>
      <c r="AJ20" s="160">
        <v>0.0</v>
      </c>
      <c r="AK20" s="169" t="str">
        <f>IFERROR(__xludf.DUMMYFUNCTION("iferror(SPARKLINE(AJ20/AI20,{""charttype"",""bar"";""max"",1;""color1"",""#c9e4b2""}))"),"")</f>
        <v/>
      </c>
      <c r="AL20" s="46"/>
      <c r="AM20" s="47"/>
      <c r="AN20" s="170"/>
    </row>
    <row r="21" ht="17.25" customHeight="1">
      <c r="A21" s="121"/>
      <c r="B21" s="160"/>
      <c r="C21" s="171" t="b">
        <v>0</v>
      </c>
      <c r="D21" s="172" t="b">
        <v>0</v>
      </c>
      <c r="E21" s="172" t="b">
        <v>0</v>
      </c>
      <c r="F21" s="172" t="b">
        <v>0</v>
      </c>
      <c r="G21" s="172" t="b">
        <v>0</v>
      </c>
      <c r="H21" s="172" t="b">
        <v>0</v>
      </c>
      <c r="I21" s="172" t="b">
        <v>0</v>
      </c>
      <c r="J21" s="173" t="b">
        <v>0</v>
      </c>
      <c r="K21" s="173" t="b">
        <v>0</v>
      </c>
      <c r="L21" s="173" t="b">
        <v>0</v>
      </c>
      <c r="M21" s="173" t="b">
        <v>0</v>
      </c>
      <c r="N21" s="173" t="b">
        <v>0</v>
      </c>
      <c r="O21" s="173" t="b">
        <v>0</v>
      </c>
      <c r="P21" s="173" t="b">
        <v>0</v>
      </c>
      <c r="Q21" s="174" t="b">
        <v>0</v>
      </c>
      <c r="R21" s="174" t="b">
        <v>0</v>
      </c>
      <c r="S21" s="174" t="b">
        <v>0</v>
      </c>
      <c r="T21" s="174" t="b">
        <v>0</v>
      </c>
      <c r="U21" s="174" t="b">
        <v>0</v>
      </c>
      <c r="V21" s="174" t="b">
        <v>0</v>
      </c>
      <c r="W21" s="174" t="b">
        <v>0</v>
      </c>
      <c r="X21" s="175" t="b">
        <v>0</v>
      </c>
      <c r="Y21" s="175" t="b">
        <v>0</v>
      </c>
      <c r="Z21" s="175" t="b">
        <v>0</v>
      </c>
      <c r="AA21" s="175" t="b">
        <v>0</v>
      </c>
      <c r="AB21" s="175" t="b">
        <v>0</v>
      </c>
      <c r="AC21" s="175" t="b">
        <v>0</v>
      </c>
      <c r="AD21" s="175" t="b">
        <v>0</v>
      </c>
      <c r="AE21" s="176" t="b">
        <v>0</v>
      </c>
      <c r="AF21" s="176" t="b">
        <v>0</v>
      </c>
      <c r="AG21" s="176" t="b">
        <v>0</v>
      </c>
      <c r="AH21" s="149"/>
      <c r="AI21" s="167"/>
      <c r="AJ21" s="160">
        <v>0.0</v>
      </c>
      <c r="AK21" s="169" t="str">
        <f>IFERROR(__xludf.DUMMYFUNCTION("iferror(SPARKLINE(AJ21/AI21,{""charttype"",""bar"";""max"",1;""color1"",""#c9e4b2""}))"),"")</f>
        <v/>
      </c>
      <c r="AL21" s="46"/>
      <c r="AM21" s="47"/>
      <c r="AN21" s="170"/>
    </row>
    <row r="22" ht="17.25" customHeight="1">
      <c r="A22" s="121"/>
      <c r="B22" s="121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49"/>
      <c r="AK22" s="149"/>
      <c r="AL22" s="149"/>
      <c r="AM22" s="149"/>
      <c r="AN22" s="149"/>
    </row>
    <row r="23" ht="17.25" customHeight="1">
      <c r="A23" s="121"/>
      <c r="B23" s="219" t="s">
        <v>26</v>
      </c>
      <c r="C23" s="178">
        <f t="shared" ref="C23:AG23" si="1">COUNTIF(C10:C21, TRUE)/COUNTA(C10:C21)</f>
        <v>0</v>
      </c>
      <c r="D23" s="178">
        <f t="shared" si="1"/>
        <v>0</v>
      </c>
      <c r="E23" s="178">
        <f t="shared" si="1"/>
        <v>0</v>
      </c>
      <c r="F23" s="178">
        <f t="shared" si="1"/>
        <v>0</v>
      </c>
      <c r="G23" s="178">
        <f t="shared" si="1"/>
        <v>0</v>
      </c>
      <c r="H23" s="178">
        <f t="shared" si="1"/>
        <v>0</v>
      </c>
      <c r="I23" s="178">
        <f t="shared" si="1"/>
        <v>0</v>
      </c>
      <c r="J23" s="178">
        <f t="shared" si="1"/>
        <v>0</v>
      </c>
      <c r="K23" s="178">
        <f t="shared" si="1"/>
        <v>0</v>
      </c>
      <c r="L23" s="178">
        <f t="shared" si="1"/>
        <v>0</v>
      </c>
      <c r="M23" s="178">
        <f t="shared" si="1"/>
        <v>0</v>
      </c>
      <c r="N23" s="178">
        <f t="shared" si="1"/>
        <v>0</v>
      </c>
      <c r="O23" s="178">
        <f t="shared" si="1"/>
        <v>0</v>
      </c>
      <c r="P23" s="178">
        <f t="shared" si="1"/>
        <v>0</v>
      </c>
      <c r="Q23" s="178">
        <f t="shared" si="1"/>
        <v>0</v>
      </c>
      <c r="R23" s="178">
        <f t="shared" si="1"/>
        <v>0</v>
      </c>
      <c r="S23" s="178">
        <f t="shared" si="1"/>
        <v>0</v>
      </c>
      <c r="T23" s="178">
        <f t="shared" si="1"/>
        <v>0</v>
      </c>
      <c r="U23" s="178">
        <f t="shared" si="1"/>
        <v>0</v>
      </c>
      <c r="V23" s="178">
        <f t="shared" si="1"/>
        <v>0</v>
      </c>
      <c r="W23" s="178">
        <f t="shared" si="1"/>
        <v>0</v>
      </c>
      <c r="X23" s="178">
        <f t="shared" si="1"/>
        <v>0</v>
      </c>
      <c r="Y23" s="178">
        <f t="shared" si="1"/>
        <v>0</v>
      </c>
      <c r="Z23" s="178">
        <f t="shared" si="1"/>
        <v>0</v>
      </c>
      <c r="AA23" s="178">
        <f t="shared" si="1"/>
        <v>0</v>
      </c>
      <c r="AB23" s="178">
        <f t="shared" si="1"/>
        <v>0</v>
      </c>
      <c r="AC23" s="178">
        <f t="shared" si="1"/>
        <v>0</v>
      </c>
      <c r="AD23" s="178">
        <f t="shared" si="1"/>
        <v>0</v>
      </c>
      <c r="AE23" s="178">
        <f t="shared" si="1"/>
        <v>0</v>
      </c>
      <c r="AF23" s="178">
        <f t="shared" si="1"/>
        <v>0</v>
      </c>
      <c r="AG23" s="178">
        <f t="shared" si="1"/>
        <v>0</v>
      </c>
      <c r="AH23" s="149"/>
      <c r="AI23" s="179"/>
      <c r="AJ23" s="180"/>
      <c r="AK23" s="149"/>
      <c r="AL23" s="149"/>
      <c r="AM23" s="149"/>
      <c r="AN23" s="149"/>
    </row>
    <row r="24" ht="17.25" customHeight="1">
      <c r="A24" s="121"/>
      <c r="B24" s="219" t="s">
        <v>51</v>
      </c>
      <c r="C24" s="181">
        <f t="shared" ref="C24:AG24" si="2">COUNTIF(C10:C21, true)</f>
        <v>0</v>
      </c>
      <c r="D24" s="181">
        <f t="shared" si="2"/>
        <v>0</v>
      </c>
      <c r="E24" s="181">
        <f t="shared" si="2"/>
        <v>0</v>
      </c>
      <c r="F24" s="181">
        <f t="shared" si="2"/>
        <v>0</v>
      </c>
      <c r="G24" s="181">
        <f t="shared" si="2"/>
        <v>0</v>
      </c>
      <c r="H24" s="181">
        <f t="shared" si="2"/>
        <v>0</v>
      </c>
      <c r="I24" s="181">
        <f t="shared" si="2"/>
        <v>0</v>
      </c>
      <c r="J24" s="181">
        <f t="shared" si="2"/>
        <v>0</v>
      </c>
      <c r="K24" s="181">
        <f t="shared" si="2"/>
        <v>0</v>
      </c>
      <c r="L24" s="181">
        <f t="shared" si="2"/>
        <v>0</v>
      </c>
      <c r="M24" s="181">
        <f t="shared" si="2"/>
        <v>0</v>
      </c>
      <c r="N24" s="181">
        <f t="shared" si="2"/>
        <v>0</v>
      </c>
      <c r="O24" s="181">
        <f t="shared" si="2"/>
        <v>0</v>
      </c>
      <c r="P24" s="181">
        <f t="shared" si="2"/>
        <v>0</v>
      </c>
      <c r="Q24" s="181">
        <f t="shared" si="2"/>
        <v>0</v>
      </c>
      <c r="R24" s="181">
        <f t="shared" si="2"/>
        <v>0</v>
      </c>
      <c r="S24" s="181">
        <f t="shared" si="2"/>
        <v>0</v>
      </c>
      <c r="T24" s="181">
        <f t="shared" si="2"/>
        <v>0</v>
      </c>
      <c r="U24" s="181">
        <f t="shared" si="2"/>
        <v>0</v>
      </c>
      <c r="V24" s="181">
        <f t="shared" si="2"/>
        <v>0</v>
      </c>
      <c r="W24" s="181">
        <f t="shared" si="2"/>
        <v>0</v>
      </c>
      <c r="X24" s="181">
        <f t="shared" si="2"/>
        <v>0</v>
      </c>
      <c r="Y24" s="181">
        <f t="shared" si="2"/>
        <v>0</v>
      </c>
      <c r="Z24" s="181">
        <f t="shared" si="2"/>
        <v>0</v>
      </c>
      <c r="AA24" s="181">
        <f t="shared" si="2"/>
        <v>0</v>
      </c>
      <c r="AB24" s="181">
        <f t="shared" si="2"/>
        <v>0</v>
      </c>
      <c r="AC24" s="181">
        <f t="shared" si="2"/>
        <v>0</v>
      </c>
      <c r="AD24" s="181">
        <f t="shared" si="2"/>
        <v>0</v>
      </c>
      <c r="AE24" s="181">
        <f t="shared" si="2"/>
        <v>0</v>
      </c>
      <c r="AF24" s="181">
        <f t="shared" si="2"/>
        <v>0</v>
      </c>
      <c r="AG24" s="181">
        <f t="shared" si="2"/>
        <v>0</v>
      </c>
      <c r="AH24" s="149"/>
      <c r="AI24" s="179"/>
      <c r="AJ24" s="180"/>
      <c r="AK24" s="149"/>
      <c r="AL24" s="149"/>
      <c r="AM24" s="149"/>
      <c r="AN24" s="149"/>
    </row>
    <row r="25" ht="17.25" customHeight="1">
      <c r="A25" s="121"/>
      <c r="B25" s="219" t="s">
        <v>52</v>
      </c>
      <c r="C25" s="182">
        <f t="shared" ref="C25:AG25" si="3">COUNTIF(C10:C21, false)</f>
        <v>12</v>
      </c>
      <c r="D25" s="182">
        <f t="shared" si="3"/>
        <v>12</v>
      </c>
      <c r="E25" s="182">
        <f t="shared" si="3"/>
        <v>12</v>
      </c>
      <c r="F25" s="182">
        <f t="shared" si="3"/>
        <v>12</v>
      </c>
      <c r="G25" s="182">
        <f t="shared" si="3"/>
        <v>12</v>
      </c>
      <c r="H25" s="182">
        <f t="shared" si="3"/>
        <v>12</v>
      </c>
      <c r="I25" s="182">
        <f t="shared" si="3"/>
        <v>12</v>
      </c>
      <c r="J25" s="182">
        <f t="shared" si="3"/>
        <v>12</v>
      </c>
      <c r="K25" s="182">
        <f t="shared" si="3"/>
        <v>12</v>
      </c>
      <c r="L25" s="182">
        <f t="shared" si="3"/>
        <v>12</v>
      </c>
      <c r="M25" s="182">
        <f t="shared" si="3"/>
        <v>12</v>
      </c>
      <c r="N25" s="182">
        <f t="shared" si="3"/>
        <v>12</v>
      </c>
      <c r="O25" s="182">
        <f t="shared" si="3"/>
        <v>12</v>
      </c>
      <c r="P25" s="182">
        <f t="shared" si="3"/>
        <v>12</v>
      </c>
      <c r="Q25" s="182">
        <f t="shared" si="3"/>
        <v>12</v>
      </c>
      <c r="R25" s="182">
        <f t="shared" si="3"/>
        <v>12</v>
      </c>
      <c r="S25" s="182">
        <f t="shared" si="3"/>
        <v>12</v>
      </c>
      <c r="T25" s="182">
        <f t="shared" si="3"/>
        <v>12</v>
      </c>
      <c r="U25" s="182">
        <f t="shared" si="3"/>
        <v>12</v>
      </c>
      <c r="V25" s="182">
        <f t="shared" si="3"/>
        <v>12</v>
      </c>
      <c r="W25" s="182">
        <f t="shared" si="3"/>
        <v>12</v>
      </c>
      <c r="X25" s="182">
        <f t="shared" si="3"/>
        <v>12</v>
      </c>
      <c r="Y25" s="182">
        <f t="shared" si="3"/>
        <v>12</v>
      </c>
      <c r="Z25" s="182">
        <f t="shared" si="3"/>
        <v>12</v>
      </c>
      <c r="AA25" s="182">
        <f t="shared" si="3"/>
        <v>12</v>
      </c>
      <c r="AB25" s="182">
        <f t="shared" si="3"/>
        <v>12</v>
      </c>
      <c r="AC25" s="182">
        <f t="shared" si="3"/>
        <v>12</v>
      </c>
      <c r="AD25" s="182">
        <f t="shared" si="3"/>
        <v>12</v>
      </c>
      <c r="AE25" s="182">
        <f t="shared" si="3"/>
        <v>12</v>
      </c>
      <c r="AF25" s="182">
        <f t="shared" si="3"/>
        <v>12</v>
      </c>
      <c r="AG25" s="182">
        <f t="shared" si="3"/>
        <v>12</v>
      </c>
      <c r="AH25" s="149"/>
      <c r="AI25" s="179"/>
      <c r="AJ25" s="180"/>
      <c r="AK25" s="149"/>
      <c r="AL25" s="149"/>
      <c r="AM25" s="149"/>
      <c r="AN25" s="149"/>
    </row>
    <row r="26" ht="17.25" customHeight="1">
      <c r="A26" s="121"/>
      <c r="B26" s="121"/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  <c r="AA26" s="149"/>
      <c r="AB26" s="149"/>
      <c r="AC26" s="149"/>
      <c r="AD26" s="149"/>
      <c r="AE26" s="149"/>
      <c r="AF26" s="149"/>
      <c r="AG26" s="149"/>
      <c r="AH26" s="149"/>
      <c r="AI26" s="179"/>
      <c r="AJ26" s="180"/>
      <c r="AK26" s="149"/>
      <c r="AL26" s="149"/>
      <c r="AM26" s="149"/>
      <c r="AN26" s="149"/>
    </row>
    <row r="27" ht="17.25" customHeight="1">
      <c r="A27" s="121"/>
      <c r="B27" s="121"/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  <c r="AA27" s="149"/>
      <c r="AB27" s="149"/>
      <c r="AC27" s="149"/>
      <c r="AD27" s="149"/>
      <c r="AE27" s="149"/>
      <c r="AF27" s="149"/>
      <c r="AG27" s="149"/>
      <c r="AH27" s="149"/>
      <c r="AI27" s="179"/>
      <c r="AJ27" s="180"/>
      <c r="AK27" s="149"/>
      <c r="AL27" s="149"/>
      <c r="AM27" s="149"/>
      <c r="AN27" s="149"/>
    </row>
    <row r="28" ht="17.25" customHeight="1">
      <c r="A28" s="121"/>
      <c r="B28" s="121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  <c r="AB28" s="149"/>
      <c r="AC28" s="149"/>
      <c r="AD28" s="149"/>
      <c r="AE28" s="149"/>
      <c r="AF28" s="149"/>
      <c r="AG28" s="149"/>
      <c r="AH28" s="149"/>
      <c r="AI28" s="179"/>
      <c r="AJ28" s="180"/>
      <c r="AK28" s="149"/>
      <c r="AL28" s="149"/>
      <c r="AM28" s="149"/>
      <c r="AN28" s="149"/>
    </row>
    <row r="29" ht="17.25" customHeight="1">
      <c r="A29" s="121"/>
      <c r="B29" s="121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79"/>
      <c r="AJ29" s="180"/>
      <c r="AK29" s="149"/>
      <c r="AL29" s="149"/>
      <c r="AM29" s="149"/>
      <c r="AN29" s="149"/>
    </row>
    <row r="30" ht="17.25" customHeight="1">
      <c r="A30" s="121"/>
      <c r="B30" s="121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49"/>
      <c r="AE30" s="149"/>
      <c r="AF30" s="149"/>
      <c r="AG30" s="149"/>
      <c r="AH30" s="149"/>
      <c r="AI30" s="179"/>
      <c r="AJ30" s="180"/>
      <c r="AK30" s="149"/>
      <c r="AL30" s="149"/>
      <c r="AM30" s="149"/>
      <c r="AN30" s="149"/>
    </row>
    <row r="31" ht="17.25" customHeight="1">
      <c r="A31" s="121"/>
      <c r="B31" s="121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  <c r="AI31" s="179"/>
      <c r="AJ31" s="180"/>
      <c r="AK31" s="149"/>
      <c r="AL31" s="149"/>
      <c r="AM31" s="149"/>
      <c r="AN31" s="149"/>
    </row>
    <row r="32" ht="17.25" customHeight="1">
      <c r="A32" s="121"/>
      <c r="B32" s="121"/>
      <c r="C32" s="149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79"/>
      <c r="AJ32" s="180"/>
      <c r="AK32" s="149"/>
      <c r="AL32" s="149"/>
      <c r="AM32" s="149"/>
      <c r="AN32" s="149"/>
    </row>
    <row r="33" ht="17.25" customHeight="1">
      <c r="A33" s="121"/>
      <c r="B33" s="121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149"/>
      <c r="AG33" s="149"/>
      <c r="AH33" s="149"/>
      <c r="AI33" s="179"/>
      <c r="AJ33" s="180"/>
      <c r="AK33" s="149"/>
      <c r="AL33" s="149"/>
      <c r="AM33" s="149"/>
      <c r="AN33" s="149"/>
    </row>
    <row r="34" ht="17.25" customHeight="1">
      <c r="A34" s="121"/>
      <c r="B34" s="121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  <c r="AC34" s="149"/>
      <c r="AD34" s="149"/>
      <c r="AE34" s="149"/>
      <c r="AF34" s="149"/>
      <c r="AG34" s="149"/>
      <c r="AH34" s="149"/>
      <c r="AI34" s="179"/>
      <c r="AJ34" s="180"/>
      <c r="AK34" s="149"/>
      <c r="AL34" s="149"/>
      <c r="AM34" s="149"/>
      <c r="AN34" s="149"/>
    </row>
    <row r="35" ht="17.25" customHeight="1">
      <c r="A35" s="121"/>
      <c r="B35" s="121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149"/>
      <c r="AE35" s="149"/>
      <c r="AF35" s="149"/>
      <c r="AG35" s="149"/>
      <c r="AH35" s="149"/>
      <c r="AI35" s="183"/>
      <c r="AJ35" s="183"/>
      <c r="AK35" s="149"/>
      <c r="AL35" s="149"/>
      <c r="AM35" s="149"/>
      <c r="AN35" s="149"/>
    </row>
    <row r="36" ht="17.25" customHeight="1">
      <c r="A36" s="121"/>
      <c r="B36" s="184" t="s">
        <v>53</v>
      </c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7"/>
      <c r="AH36" s="149"/>
      <c r="AI36" s="184" t="s">
        <v>54</v>
      </c>
      <c r="AJ36" s="46"/>
      <c r="AK36" s="46"/>
      <c r="AL36" s="46"/>
      <c r="AM36" s="47"/>
      <c r="AN36" s="149"/>
    </row>
    <row r="37" ht="17.25" customHeight="1">
      <c r="A37" s="121"/>
      <c r="B37" s="185" t="s">
        <v>55</v>
      </c>
      <c r="C37" s="186"/>
      <c r="D37" s="186"/>
      <c r="E37" s="186"/>
      <c r="F37" s="186"/>
      <c r="G37" s="186"/>
      <c r="H37" s="186"/>
      <c r="I37" s="186"/>
      <c r="J37" s="186"/>
      <c r="K37" s="186"/>
      <c r="L37" s="186"/>
      <c r="M37" s="186"/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  <c r="AA37" s="186"/>
      <c r="AB37" s="186"/>
      <c r="AC37" s="186"/>
      <c r="AD37" s="186"/>
      <c r="AE37" s="186"/>
      <c r="AF37" s="186"/>
      <c r="AG37" s="186"/>
      <c r="AH37" s="149"/>
      <c r="AI37" s="187" t="str">
        <f t="shared" ref="AI37:AI39" si="4">iferror(Average(C37:AG37), "")</f>
        <v/>
      </c>
      <c r="AJ37" s="46"/>
      <c r="AK37" s="46"/>
      <c r="AL37" s="46"/>
      <c r="AM37" s="47"/>
      <c r="AN37" s="149"/>
    </row>
    <row r="38" ht="17.25" customHeight="1">
      <c r="A38" s="121"/>
      <c r="B38" s="185" t="s">
        <v>56</v>
      </c>
      <c r="C38" s="188"/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88"/>
      <c r="P38" s="188"/>
      <c r="Q38" s="188"/>
      <c r="R38" s="188"/>
      <c r="S38" s="188"/>
      <c r="T38" s="188"/>
      <c r="U38" s="188"/>
      <c r="V38" s="188"/>
      <c r="W38" s="188"/>
      <c r="X38" s="188"/>
      <c r="Y38" s="188"/>
      <c r="Z38" s="188"/>
      <c r="AA38" s="188"/>
      <c r="AB38" s="188"/>
      <c r="AC38" s="188"/>
      <c r="AD38" s="188"/>
      <c r="AE38" s="188"/>
      <c r="AF38" s="188"/>
      <c r="AG38" s="188"/>
      <c r="AH38" s="149"/>
      <c r="AI38" s="187" t="str">
        <f t="shared" si="4"/>
        <v/>
      </c>
      <c r="AJ38" s="46"/>
      <c r="AK38" s="46"/>
      <c r="AL38" s="46"/>
      <c r="AM38" s="47"/>
      <c r="AN38" s="149"/>
    </row>
    <row r="39" ht="17.25" customHeight="1">
      <c r="A39" s="121"/>
      <c r="B39" s="185" t="s">
        <v>63</v>
      </c>
      <c r="C39" s="189"/>
      <c r="D39" s="189"/>
      <c r="E39" s="189"/>
      <c r="F39" s="189"/>
      <c r="G39" s="189"/>
      <c r="H39" s="189"/>
      <c r="I39" s="189"/>
      <c r="J39" s="189"/>
      <c r="K39" s="189"/>
      <c r="L39" s="189"/>
      <c r="M39" s="189"/>
      <c r="N39" s="189"/>
      <c r="O39" s="189"/>
      <c r="P39" s="189"/>
      <c r="Q39" s="189"/>
      <c r="R39" s="189"/>
      <c r="S39" s="189"/>
      <c r="T39" s="189"/>
      <c r="U39" s="189"/>
      <c r="V39" s="189"/>
      <c r="W39" s="189"/>
      <c r="X39" s="189"/>
      <c r="Y39" s="189"/>
      <c r="Z39" s="189"/>
      <c r="AA39" s="189"/>
      <c r="AB39" s="189"/>
      <c r="AC39" s="189"/>
      <c r="AD39" s="189"/>
      <c r="AE39" s="189"/>
      <c r="AF39" s="189"/>
      <c r="AG39" s="189"/>
      <c r="AH39" s="149"/>
      <c r="AI39" s="187" t="str">
        <f t="shared" si="4"/>
        <v/>
      </c>
      <c r="AJ39" s="46"/>
      <c r="AK39" s="46"/>
      <c r="AL39" s="46"/>
      <c r="AM39" s="47"/>
      <c r="AN39" s="149"/>
    </row>
    <row r="40" ht="17.25" customHeight="1">
      <c r="A40" s="121"/>
      <c r="B40" s="121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  <c r="AK40" s="149"/>
      <c r="AL40" s="149"/>
      <c r="AM40" s="149"/>
      <c r="AN40" s="149"/>
    </row>
    <row r="41" ht="17.25" customHeight="1">
      <c r="A41" s="121"/>
      <c r="B41" s="121"/>
      <c r="C41" s="149"/>
      <c r="D41" s="149"/>
      <c r="E41" s="149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  <c r="AB41" s="149"/>
      <c r="AC41" s="149"/>
      <c r="AD41" s="149"/>
      <c r="AE41" s="149"/>
      <c r="AF41" s="149"/>
      <c r="AG41" s="149"/>
      <c r="AH41" s="149"/>
      <c r="AI41" s="149"/>
      <c r="AJ41" s="149"/>
      <c r="AK41" s="149"/>
      <c r="AL41" s="149"/>
      <c r="AM41" s="149"/>
      <c r="AN41" s="149"/>
    </row>
    <row r="42" ht="17.25" customHeight="1">
      <c r="A42" s="121"/>
      <c r="B42" s="136" t="s">
        <v>58</v>
      </c>
      <c r="C42" s="190" t="s">
        <v>44</v>
      </c>
      <c r="D42" s="46"/>
      <c r="E42" s="46"/>
      <c r="F42" s="46"/>
      <c r="G42" s="46"/>
      <c r="H42" s="47"/>
      <c r="I42" s="151"/>
      <c r="J42" s="191" t="s">
        <v>45</v>
      </c>
      <c r="K42" s="46"/>
      <c r="L42" s="46"/>
      <c r="M42" s="46"/>
      <c r="N42" s="46"/>
      <c r="O42" s="47"/>
      <c r="P42" s="152"/>
      <c r="Q42" s="192" t="s">
        <v>46</v>
      </c>
      <c r="R42" s="46"/>
      <c r="S42" s="46"/>
      <c r="T42" s="46"/>
      <c r="U42" s="46"/>
      <c r="V42" s="47"/>
      <c r="W42" s="154"/>
      <c r="X42" s="193" t="s">
        <v>47</v>
      </c>
      <c r="Y42" s="46"/>
      <c r="Z42" s="46"/>
      <c r="AA42" s="46"/>
      <c r="AB42" s="46"/>
      <c r="AC42" s="47"/>
      <c r="AD42" s="153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</row>
    <row r="43" ht="17.25" customHeight="1">
      <c r="A43" s="121"/>
      <c r="B43" s="86"/>
      <c r="C43" s="194"/>
      <c r="D43" s="46"/>
      <c r="E43" s="46"/>
      <c r="F43" s="46"/>
      <c r="G43" s="46"/>
      <c r="H43" s="47"/>
      <c r="I43" s="195" t="b">
        <v>0</v>
      </c>
      <c r="J43" s="196"/>
      <c r="K43" s="46"/>
      <c r="L43" s="46"/>
      <c r="M43" s="46"/>
      <c r="N43" s="46"/>
      <c r="O43" s="47"/>
      <c r="P43" s="197" t="b">
        <v>0</v>
      </c>
      <c r="Q43" s="198"/>
      <c r="R43" s="46"/>
      <c r="S43" s="46"/>
      <c r="T43" s="46"/>
      <c r="U43" s="46"/>
      <c r="V43" s="47"/>
      <c r="W43" s="199" t="b">
        <v>0</v>
      </c>
      <c r="X43" s="200"/>
      <c r="Y43" s="46"/>
      <c r="Z43" s="46"/>
      <c r="AA43" s="46"/>
      <c r="AB43" s="46"/>
      <c r="AC43" s="47"/>
      <c r="AD43" s="201" t="b">
        <v>0</v>
      </c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</row>
    <row r="44" ht="17.25" customHeight="1">
      <c r="A44" s="121"/>
      <c r="B44" s="121"/>
      <c r="C44" s="194"/>
      <c r="D44" s="46"/>
      <c r="E44" s="46"/>
      <c r="F44" s="46"/>
      <c r="G44" s="46"/>
      <c r="H44" s="47"/>
      <c r="I44" s="195" t="b">
        <v>0</v>
      </c>
      <c r="J44" s="196"/>
      <c r="K44" s="46"/>
      <c r="L44" s="46"/>
      <c r="M44" s="46"/>
      <c r="N44" s="46"/>
      <c r="O44" s="47"/>
      <c r="P44" s="197" t="b">
        <v>0</v>
      </c>
      <c r="Q44" s="198"/>
      <c r="R44" s="46"/>
      <c r="S44" s="46"/>
      <c r="T44" s="46"/>
      <c r="U44" s="46"/>
      <c r="V44" s="47"/>
      <c r="W44" s="199" t="b">
        <v>0</v>
      </c>
      <c r="X44" s="200"/>
      <c r="Y44" s="46"/>
      <c r="Z44" s="46"/>
      <c r="AA44" s="46"/>
      <c r="AB44" s="46"/>
      <c r="AC44" s="47"/>
      <c r="AD44" s="201" t="b">
        <v>0</v>
      </c>
      <c r="AE44" s="121"/>
      <c r="AF44" s="121"/>
      <c r="AG44" s="202" t="s">
        <v>59</v>
      </c>
      <c r="AH44" s="121"/>
      <c r="AI44" s="121"/>
      <c r="AJ44" s="121"/>
      <c r="AK44" s="121"/>
      <c r="AL44" s="121"/>
      <c r="AM44" s="121"/>
      <c r="AN44" s="121"/>
    </row>
    <row r="45" ht="17.25" customHeight="1">
      <c r="A45" s="121"/>
      <c r="B45" s="121"/>
      <c r="C45" s="194"/>
      <c r="D45" s="46"/>
      <c r="E45" s="46"/>
      <c r="F45" s="46"/>
      <c r="G45" s="46"/>
      <c r="H45" s="47"/>
      <c r="I45" s="195" t="b">
        <v>0</v>
      </c>
      <c r="J45" s="196"/>
      <c r="K45" s="46"/>
      <c r="L45" s="46"/>
      <c r="M45" s="46"/>
      <c r="N45" s="46"/>
      <c r="O45" s="47"/>
      <c r="P45" s="197" t="b">
        <v>0</v>
      </c>
      <c r="Q45" s="198"/>
      <c r="R45" s="46"/>
      <c r="S45" s="46"/>
      <c r="T45" s="46"/>
      <c r="U45" s="46"/>
      <c r="V45" s="47"/>
      <c r="W45" s="199" t="b">
        <v>0</v>
      </c>
      <c r="X45" s="200"/>
      <c r="Y45" s="46"/>
      <c r="Z45" s="46"/>
      <c r="AA45" s="46"/>
      <c r="AB45" s="46"/>
      <c r="AC45" s="47"/>
      <c r="AD45" s="201" t="b">
        <v>0</v>
      </c>
      <c r="AE45" s="121"/>
      <c r="AF45" s="121"/>
      <c r="AG45" s="203">
        <v>7.0</v>
      </c>
      <c r="AH45" s="120"/>
      <c r="AI45" s="120"/>
      <c r="AJ45" s="120"/>
      <c r="AK45" s="120"/>
      <c r="AL45" s="120"/>
      <c r="AM45" s="120"/>
      <c r="AN45" s="120"/>
    </row>
    <row r="46" ht="17.25" customHeight="1">
      <c r="A46" s="121"/>
      <c r="B46" s="121"/>
      <c r="C46" s="194"/>
      <c r="D46" s="46"/>
      <c r="E46" s="46"/>
      <c r="F46" s="46"/>
      <c r="G46" s="46"/>
      <c r="H46" s="47"/>
      <c r="I46" s="195" t="b">
        <v>0</v>
      </c>
      <c r="J46" s="196"/>
      <c r="K46" s="46"/>
      <c r="L46" s="46"/>
      <c r="M46" s="46"/>
      <c r="N46" s="46"/>
      <c r="O46" s="47"/>
      <c r="P46" s="197" t="b">
        <v>0</v>
      </c>
      <c r="Q46" s="198"/>
      <c r="R46" s="46"/>
      <c r="S46" s="46"/>
      <c r="T46" s="46"/>
      <c r="U46" s="46"/>
      <c r="V46" s="47"/>
      <c r="W46" s="199" t="b">
        <v>0</v>
      </c>
      <c r="X46" s="200"/>
      <c r="Y46" s="46"/>
      <c r="Z46" s="46"/>
      <c r="AA46" s="46"/>
      <c r="AB46" s="46"/>
      <c r="AC46" s="47"/>
      <c r="AD46" s="201" t="b">
        <v>0</v>
      </c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</row>
    <row r="47" ht="17.25" customHeight="1">
      <c r="A47" s="121"/>
      <c r="B47" s="121"/>
      <c r="C47" s="194"/>
      <c r="D47" s="46"/>
      <c r="E47" s="46"/>
      <c r="F47" s="46"/>
      <c r="G47" s="46"/>
      <c r="H47" s="47"/>
      <c r="I47" s="195" t="b">
        <v>0</v>
      </c>
      <c r="J47" s="196"/>
      <c r="K47" s="46"/>
      <c r="L47" s="46"/>
      <c r="M47" s="46"/>
      <c r="N47" s="46"/>
      <c r="O47" s="47"/>
      <c r="P47" s="197" t="b">
        <v>0</v>
      </c>
      <c r="Q47" s="198"/>
      <c r="R47" s="46"/>
      <c r="S47" s="46"/>
      <c r="T47" s="46"/>
      <c r="U47" s="46"/>
      <c r="V47" s="47"/>
      <c r="W47" s="199" t="b">
        <v>0</v>
      </c>
      <c r="X47" s="200"/>
      <c r="Y47" s="46"/>
      <c r="Z47" s="46"/>
      <c r="AA47" s="46"/>
      <c r="AB47" s="46"/>
      <c r="AC47" s="47"/>
      <c r="AD47" s="201" t="b">
        <v>0</v>
      </c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</row>
    <row r="48" ht="17.25" customHeight="1">
      <c r="A48" s="121"/>
      <c r="B48" s="121"/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</row>
    <row r="49" ht="17.25" customHeight="1">
      <c r="A49" s="121"/>
      <c r="B49" s="136" t="s">
        <v>60</v>
      </c>
      <c r="C49" s="204"/>
      <c r="D49" s="50"/>
      <c r="E49" s="50"/>
      <c r="F49" s="50"/>
      <c r="G49" s="50"/>
      <c r="H49" s="50"/>
      <c r="I49" s="51"/>
      <c r="J49" s="204"/>
      <c r="K49" s="50"/>
      <c r="L49" s="50"/>
      <c r="M49" s="50"/>
      <c r="N49" s="50"/>
      <c r="O49" s="50"/>
      <c r="P49" s="51"/>
      <c r="Q49" s="204"/>
      <c r="R49" s="50"/>
      <c r="S49" s="50"/>
      <c r="T49" s="50"/>
      <c r="U49" s="50"/>
      <c r="V49" s="50"/>
      <c r="W49" s="51"/>
      <c r="X49" s="204"/>
      <c r="Y49" s="50"/>
      <c r="Z49" s="50"/>
      <c r="AA49" s="50"/>
      <c r="AB49" s="50"/>
      <c r="AC49" s="50"/>
      <c r="AD49" s="5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</row>
    <row r="50" ht="17.25" customHeight="1">
      <c r="A50" s="121"/>
      <c r="B50" s="205"/>
      <c r="C50" s="206"/>
      <c r="D50" s="55"/>
      <c r="E50" s="55"/>
      <c r="F50" s="55"/>
      <c r="G50" s="55"/>
      <c r="H50" s="55"/>
      <c r="I50" s="56"/>
      <c r="J50" s="206"/>
      <c r="K50" s="55"/>
      <c r="L50" s="55"/>
      <c r="M50" s="55"/>
      <c r="N50" s="55"/>
      <c r="O50" s="55"/>
      <c r="P50" s="56"/>
      <c r="Q50" s="206"/>
      <c r="R50" s="55"/>
      <c r="S50" s="55"/>
      <c r="T50" s="55"/>
      <c r="U50" s="55"/>
      <c r="V50" s="55"/>
      <c r="W50" s="56"/>
      <c r="X50" s="206"/>
      <c r="Y50" s="55"/>
      <c r="Z50" s="55"/>
      <c r="AA50" s="55"/>
      <c r="AB50" s="55"/>
      <c r="AC50" s="55"/>
      <c r="AD50" s="56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</row>
    <row r="51" ht="17.25" customHeight="1">
      <c r="A51" s="121"/>
      <c r="B51" s="86"/>
      <c r="C51" s="207"/>
      <c r="D51" s="60"/>
      <c r="E51" s="60"/>
      <c r="F51" s="60"/>
      <c r="G51" s="60"/>
      <c r="H51" s="60"/>
      <c r="I51" s="61"/>
      <c r="J51" s="207"/>
      <c r="K51" s="60"/>
      <c r="L51" s="60"/>
      <c r="M51" s="60"/>
      <c r="N51" s="60"/>
      <c r="O51" s="60"/>
      <c r="P51" s="61"/>
      <c r="Q51" s="207"/>
      <c r="R51" s="60"/>
      <c r="S51" s="60"/>
      <c r="T51" s="60"/>
      <c r="U51" s="60"/>
      <c r="V51" s="60"/>
      <c r="W51" s="61"/>
      <c r="X51" s="207"/>
      <c r="Y51" s="60"/>
      <c r="Z51" s="60"/>
      <c r="AA51" s="60"/>
      <c r="AB51" s="60"/>
      <c r="AC51" s="60"/>
      <c r="AD51" s="6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</row>
    <row r="52" ht="17.25" customHeight="1">
      <c r="A52" s="121"/>
      <c r="B52" s="121"/>
      <c r="C52" s="208"/>
      <c r="I52" s="170"/>
      <c r="J52" s="208"/>
      <c r="P52" s="170"/>
      <c r="Q52" s="208"/>
      <c r="W52" s="170"/>
      <c r="X52" s="208"/>
      <c r="AD52" s="170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</row>
    <row r="53" ht="17.25" customHeight="1">
      <c r="A53" s="121"/>
      <c r="B53" s="121"/>
      <c r="C53" s="121"/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</row>
    <row r="54" ht="17.25" customHeight="1">
      <c r="A54" s="121"/>
      <c r="B54" s="62" t="s">
        <v>61</v>
      </c>
      <c r="C54" s="209" t="s">
        <v>62</v>
      </c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7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</row>
    <row r="55" ht="17.25" customHeight="1">
      <c r="A55" s="121"/>
      <c r="B55" s="43"/>
      <c r="C55" s="210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7"/>
      <c r="P55" s="211" t="b">
        <v>0</v>
      </c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</row>
    <row r="56" ht="17.25" customHeight="1">
      <c r="A56" s="121"/>
      <c r="B56" s="212"/>
      <c r="C56" s="210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7"/>
      <c r="P56" s="211" t="b">
        <v>0</v>
      </c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</row>
    <row r="57" ht="17.25" customHeight="1">
      <c r="A57" s="121"/>
      <c r="B57" s="212"/>
      <c r="C57" s="210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7"/>
      <c r="P57" s="211" t="b">
        <v>0</v>
      </c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</row>
    <row r="58" ht="17.25" customHeight="1">
      <c r="A58" s="121"/>
      <c r="B58" s="212"/>
      <c r="C58" s="210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7"/>
      <c r="P58" s="211" t="b">
        <v>0</v>
      </c>
      <c r="Q58" s="121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  <c r="AL58" s="121"/>
      <c r="AM58" s="121"/>
      <c r="AN58" s="121"/>
    </row>
    <row r="59" ht="17.25" customHeight="1">
      <c r="A59" s="121"/>
      <c r="B59" s="212"/>
      <c r="C59" s="210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7"/>
      <c r="P59" s="211" t="b">
        <v>0</v>
      </c>
      <c r="Q59" s="121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1"/>
      <c r="AM59" s="121"/>
      <c r="AN59" s="121"/>
    </row>
    <row r="60" ht="17.25" customHeight="1">
      <c r="A60" s="121"/>
      <c r="B60" s="121"/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  <c r="AE60" s="121"/>
      <c r="AF60" s="121"/>
      <c r="AG60" s="121"/>
      <c r="AH60" s="121"/>
      <c r="AI60" s="121"/>
      <c r="AJ60" s="121"/>
      <c r="AK60" s="121"/>
      <c r="AL60" s="121"/>
      <c r="AM60" s="121"/>
      <c r="AN60" s="121"/>
    </row>
    <row r="61" ht="17.25" hidden="1" customHeight="1">
      <c r="A61" s="121"/>
      <c r="B61" s="121"/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1"/>
      <c r="AL61" s="121"/>
      <c r="AM61" s="121"/>
      <c r="AN61" s="121"/>
    </row>
    <row r="62" ht="17.25" hidden="1" customHeight="1">
      <c r="A62" s="121"/>
      <c r="B62" s="213">
        <f>COUNTIF($I$43:$I$47, true)</f>
        <v>0</v>
      </c>
      <c r="C62" s="214" t="str">
        <f t="array" ref="C62:H66">$C$43:$H$47</f>
        <v/>
      </c>
      <c r="D62" s="214"/>
      <c r="E62" s="214"/>
      <c r="F62" s="214"/>
      <c r="G62" s="214"/>
      <c r="H62" s="214"/>
      <c r="I62" s="213">
        <f t="array" ref="I62">COUNTA(UNIQUE($C$62:$C$140))</f>
        <v>0</v>
      </c>
      <c r="J62" s="215">
        <f>sum($B$62,$B$78,$B$110,$B$126)</f>
        <v>0</v>
      </c>
      <c r="K62" s="213">
        <f>sum(COUNTA($I$43:$I$47),COUNTA($P$43:$P$47),COUNTA($W$43:$W$47),COUNTA($AD$43:$AD$47),COUNTA($P$55:$P$59))</f>
        <v>25</v>
      </c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121"/>
      <c r="AK62" s="121"/>
      <c r="AL62" s="121"/>
      <c r="AM62" s="121"/>
      <c r="AN62" s="121"/>
    </row>
    <row r="63" ht="17.25" hidden="1" customHeight="1">
      <c r="A63" s="121"/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 s="121"/>
      <c r="AH63" s="121"/>
      <c r="AI63" s="121"/>
      <c r="AJ63" s="121"/>
      <c r="AK63" s="121"/>
      <c r="AL63" s="121"/>
      <c r="AM63" s="121"/>
      <c r="AN63" s="121"/>
    </row>
    <row r="64" ht="17.25" hidden="1" customHeight="1">
      <c r="A64" s="121"/>
      <c r="B64" s="214"/>
      <c r="C64" s="214"/>
      <c r="D64" s="214"/>
      <c r="E64" s="214"/>
      <c r="F64" s="214"/>
      <c r="G64" s="214"/>
      <c r="H64" s="214"/>
      <c r="I64" s="214"/>
      <c r="J64" s="214"/>
      <c r="K64" s="214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121"/>
      <c r="AK64" s="121"/>
      <c r="AL64" s="121"/>
      <c r="AM64" s="121"/>
      <c r="AN64" s="121"/>
    </row>
    <row r="65" ht="17.25" hidden="1" customHeight="1">
      <c r="A65" s="121"/>
      <c r="B65" s="214"/>
      <c r="C65" s="214"/>
      <c r="D65" s="214"/>
      <c r="E65" s="214"/>
      <c r="F65" s="214"/>
      <c r="G65" s="214"/>
      <c r="H65" s="214"/>
      <c r="I65" s="214"/>
      <c r="J65" s="214"/>
      <c r="K65" s="214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1"/>
      <c r="AI65" s="121"/>
      <c r="AJ65" s="121"/>
      <c r="AK65" s="121"/>
      <c r="AL65" s="121"/>
      <c r="AM65" s="121"/>
      <c r="AN65" s="121"/>
    </row>
    <row r="66" ht="17.25" hidden="1" customHeight="1">
      <c r="A66" s="121"/>
      <c r="B66" s="214"/>
      <c r="C66" s="214"/>
      <c r="D66" s="214"/>
      <c r="E66" s="214"/>
      <c r="F66" s="214"/>
      <c r="G66" s="214"/>
      <c r="H66" s="214"/>
      <c r="I66" s="214"/>
      <c r="J66" s="214"/>
      <c r="K66" s="214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  <c r="AA66" s="121"/>
      <c r="AB66" s="121"/>
      <c r="AC66" s="121"/>
      <c r="AD66" s="121"/>
      <c r="AE66" s="121"/>
      <c r="AF66" s="121"/>
      <c r="AG66" s="121"/>
      <c r="AH66" s="121"/>
      <c r="AI66" s="121"/>
      <c r="AJ66" s="121"/>
      <c r="AK66" s="121"/>
      <c r="AL66" s="121"/>
      <c r="AM66" s="121"/>
      <c r="AN66" s="121"/>
    </row>
    <row r="67" ht="17.25" hidden="1" customHeight="1">
      <c r="A67" s="121"/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1"/>
      <c r="AJ67" s="121"/>
      <c r="AK67" s="121"/>
      <c r="AL67" s="121"/>
      <c r="AM67" s="121"/>
      <c r="AN67" s="121"/>
    </row>
    <row r="68" ht="17.25" hidden="1" customHeight="1">
      <c r="A68" s="121"/>
      <c r="B68" s="214"/>
      <c r="C68" s="214"/>
      <c r="D68" s="214"/>
      <c r="E68" s="214"/>
      <c r="F68" s="214"/>
      <c r="G68" s="214"/>
      <c r="H68" s="214"/>
      <c r="I68" s="214"/>
      <c r="J68" s="214"/>
      <c r="K68" s="214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  <c r="AA68" s="121"/>
      <c r="AB68" s="121"/>
      <c r="AC68" s="121"/>
      <c r="AD68" s="121"/>
      <c r="AE68" s="121"/>
      <c r="AF68" s="121"/>
      <c r="AG68" s="121"/>
      <c r="AH68" s="121"/>
      <c r="AI68" s="121"/>
      <c r="AJ68" s="121"/>
      <c r="AK68" s="121"/>
      <c r="AL68" s="121"/>
      <c r="AM68" s="121"/>
      <c r="AN68" s="121"/>
    </row>
    <row r="69" ht="17.25" hidden="1" customHeight="1">
      <c r="A69" s="121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  <c r="AC69" s="121"/>
      <c r="AD69" s="121"/>
      <c r="AE69" s="121"/>
      <c r="AF69" s="121"/>
      <c r="AG69" s="121"/>
      <c r="AH69" s="121"/>
      <c r="AI69" s="121"/>
      <c r="AJ69" s="121"/>
      <c r="AK69" s="121"/>
      <c r="AL69" s="121"/>
      <c r="AM69" s="121"/>
      <c r="AN69" s="121"/>
    </row>
    <row r="70" ht="17.25" hidden="1" customHeight="1">
      <c r="A70" s="121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  <c r="AC70" s="121"/>
      <c r="AD70" s="121"/>
      <c r="AE70" s="121"/>
      <c r="AF70" s="121"/>
      <c r="AG70" s="121"/>
      <c r="AH70" s="121"/>
      <c r="AI70" s="121"/>
      <c r="AJ70" s="121"/>
      <c r="AK70" s="121"/>
      <c r="AL70" s="121"/>
      <c r="AM70" s="121"/>
      <c r="AN70" s="121"/>
    </row>
    <row r="71" ht="17.25" hidden="1" customHeight="1">
      <c r="A71" s="121"/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  <c r="AD71" s="121"/>
      <c r="AE71" s="121"/>
      <c r="AF71" s="121"/>
      <c r="AG71" s="121"/>
      <c r="AH71" s="121"/>
      <c r="AI71" s="121"/>
      <c r="AJ71" s="121"/>
      <c r="AK71" s="121"/>
      <c r="AL71" s="121"/>
      <c r="AM71" s="121"/>
      <c r="AN71" s="121"/>
    </row>
    <row r="72" ht="17.25" hidden="1" customHeight="1">
      <c r="A72" s="121"/>
      <c r="B72" s="214"/>
      <c r="C72" s="214"/>
      <c r="D72" s="214"/>
      <c r="E72" s="214"/>
      <c r="F72" s="214"/>
      <c r="G72" s="214"/>
      <c r="H72" s="214"/>
      <c r="I72" s="214"/>
      <c r="J72" s="214"/>
      <c r="K72" s="214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  <c r="AD72" s="121"/>
      <c r="AE72" s="121"/>
      <c r="AF72" s="121"/>
      <c r="AG72" s="121"/>
      <c r="AH72" s="121"/>
      <c r="AI72" s="121"/>
      <c r="AJ72" s="121"/>
      <c r="AK72" s="121"/>
      <c r="AL72" s="121"/>
      <c r="AM72" s="121"/>
      <c r="AN72" s="121"/>
    </row>
    <row r="73" ht="17.25" hidden="1" customHeight="1">
      <c r="A73" s="121"/>
      <c r="B73" s="214"/>
      <c r="C73" s="214"/>
      <c r="D73" s="214"/>
      <c r="E73" s="214"/>
      <c r="F73" s="214"/>
      <c r="G73" s="214"/>
      <c r="H73" s="214"/>
      <c r="I73" s="214"/>
      <c r="J73" s="214"/>
      <c r="K73" s="214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  <c r="AA73" s="121"/>
      <c r="AB73" s="121"/>
      <c r="AC73" s="121"/>
      <c r="AD73" s="121"/>
      <c r="AE73" s="121"/>
      <c r="AF73" s="121"/>
      <c r="AG73" s="121"/>
      <c r="AH73" s="121"/>
      <c r="AI73" s="121"/>
      <c r="AJ73" s="121"/>
      <c r="AK73" s="121"/>
      <c r="AL73" s="121"/>
      <c r="AM73" s="121"/>
      <c r="AN73" s="121"/>
    </row>
    <row r="74" ht="17.25" hidden="1" customHeight="1">
      <c r="A74" s="121"/>
      <c r="B74" s="214"/>
      <c r="C74" s="214"/>
      <c r="D74" s="214"/>
      <c r="E74" s="214"/>
      <c r="F74" s="214"/>
      <c r="G74" s="214"/>
      <c r="H74" s="214"/>
      <c r="I74" s="214"/>
      <c r="J74" s="214"/>
      <c r="K74" s="214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  <c r="AD74" s="121"/>
      <c r="AE74" s="121"/>
      <c r="AF74" s="121"/>
      <c r="AG74" s="121"/>
      <c r="AH74" s="121"/>
      <c r="AI74" s="121"/>
      <c r="AJ74" s="121"/>
      <c r="AK74" s="121"/>
      <c r="AL74" s="121"/>
      <c r="AM74" s="121"/>
      <c r="AN74" s="121"/>
    </row>
    <row r="75" ht="17.25" hidden="1" customHeight="1">
      <c r="A75" s="121"/>
      <c r="B75" s="214"/>
      <c r="C75" s="214"/>
      <c r="D75" s="214"/>
      <c r="E75" s="214"/>
      <c r="F75" s="214"/>
      <c r="G75" s="214"/>
      <c r="H75" s="214"/>
      <c r="I75" s="214"/>
      <c r="J75" s="214"/>
      <c r="K75" s="214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  <c r="AD75" s="121"/>
      <c r="AE75" s="121"/>
      <c r="AF75" s="121"/>
      <c r="AG75" s="121"/>
      <c r="AH75" s="121"/>
      <c r="AI75" s="121"/>
      <c r="AJ75" s="121"/>
      <c r="AK75" s="121"/>
      <c r="AL75" s="121"/>
      <c r="AM75" s="121"/>
      <c r="AN75" s="121"/>
    </row>
    <row r="76" ht="17.25" hidden="1" customHeight="1">
      <c r="A76" s="121"/>
      <c r="B76" s="214"/>
      <c r="C76" s="214"/>
      <c r="D76" s="214"/>
      <c r="E76" s="214"/>
      <c r="F76" s="214"/>
      <c r="G76" s="214"/>
      <c r="H76" s="214"/>
      <c r="I76" s="214"/>
      <c r="J76" s="214"/>
      <c r="K76" s="214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  <c r="AC76" s="121"/>
      <c r="AD76" s="121"/>
      <c r="AE76" s="121"/>
      <c r="AF76" s="121"/>
      <c r="AG76" s="121"/>
      <c r="AH76" s="121"/>
      <c r="AI76" s="121"/>
      <c r="AJ76" s="121"/>
      <c r="AK76" s="121"/>
      <c r="AL76" s="121"/>
      <c r="AM76" s="121"/>
      <c r="AN76" s="121"/>
    </row>
    <row r="77" ht="17.25" hidden="1" customHeight="1">
      <c r="A77" s="121"/>
      <c r="B77" s="214"/>
      <c r="C77" s="214"/>
      <c r="D77" s="214"/>
      <c r="E77" s="214"/>
      <c r="F77" s="214"/>
      <c r="G77" s="214"/>
      <c r="H77" s="214"/>
      <c r="I77" s="214"/>
      <c r="J77" s="214"/>
      <c r="K77" s="214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  <c r="AD77" s="121"/>
      <c r="AE77" s="121"/>
      <c r="AF77" s="121"/>
      <c r="AG77" s="121"/>
      <c r="AH77" s="121"/>
      <c r="AI77" s="121"/>
      <c r="AJ77" s="121"/>
      <c r="AK77" s="121"/>
      <c r="AL77" s="121"/>
      <c r="AM77" s="121"/>
      <c r="AN77" s="121"/>
    </row>
    <row r="78" ht="17.25" hidden="1" customHeight="1">
      <c r="A78" s="121"/>
      <c r="B78" s="213">
        <f>COUNTIF($P$43:$P$47, true)</f>
        <v>0</v>
      </c>
      <c r="C78" s="214" t="str">
        <f t="array" ref="C78:H82">$J$43:$O$47</f>
        <v/>
      </c>
      <c r="D78" s="214"/>
      <c r="E78" s="214"/>
      <c r="F78" s="214"/>
      <c r="G78" s="214"/>
      <c r="H78" s="214"/>
      <c r="I78" s="214"/>
      <c r="J78" s="214"/>
      <c r="K78" s="214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  <c r="AD78" s="121"/>
      <c r="AE78" s="121"/>
      <c r="AF78" s="121"/>
      <c r="AG78" s="121"/>
      <c r="AH78" s="121"/>
      <c r="AI78" s="121"/>
      <c r="AJ78" s="121"/>
      <c r="AK78" s="121"/>
      <c r="AL78" s="121"/>
      <c r="AM78" s="121"/>
      <c r="AN78" s="121"/>
    </row>
    <row r="79" ht="17.25" hidden="1" customHeight="1">
      <c r="A79" s="121"/>
      <c r="B79" s="214"/>
      <c r="C79" s="214"/>
      <c r="D79" s="214"/>
      <c r="E79" s="214"/>
      <c r="F79" s="214"/>
      <c r="G79" s="214"/>
      <c r="H79" s="214"/>
      <c r="I79" s="214"/>
      <c r="J79" s="214"/>
      <c r="K79" s="214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  <c r="AC79" s="121"/>
      <c r="AD79" s="121"/>
      <c r="AE79" s="121"/>
      <c r="AF79" s="121"/>
      <c r="AG79" s="121"/>
      <c r="AH79" s="121"/>
      <c r="AI79" s="121"/>
      <c r="AJ79" s="121"/>
      <c r="AK79" s="121"/>
      <c r="AL79" s="121"/>
      <c r="AM79" s="121"/>
      <c r="AN79" s="121"/>
    </row>
    <row r="80" ht="17.25" hidden="1" customHeight="1">
      <c r="A80" s="121"/>
      <c r="B80" s="214"/>
      <c r="C80" s="214"/>
      <c r="D80" s="214"/>
      <c r="E80" s="214"/>
      <c r="F80" s="214"/>
      <c r="G80" s="214"/>
      <c r="H80" s="214"/>
      <c r="I80" s="214"/>
      <c r="J80" s="214"/>
      <c r="K80" s="214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  <c r="AA80" s="121"/>
      <c r="AB80" s="121"/>
      <c r="AC80" s="121"/>
      <c r="AD80" s="121"/>
      <c r="AE80" s="121"/>
      <c r="AF80" s="121"/>
      <c r="AG80" s="121"/>
      <c r="AH80" s="121"/>
      <c r="AI80" s="121"/>
      <c r="AJ80" s="121"/>
      <c r="AK80" s="121"/>
      <c r="AL80" s="121"/>
      <c r="AM80" s="121"/>
      <c r="AN80" s="121"/>
    </row>
    <row r="81" ht="17.25" hidden="1" customHeight="1">
      <c r="A81" s="121"/>
      <c r="B81" s="214"/>
      <c r="C81" s="214"/>
      <c r="D81" s="214"/>
      <c r="E81" s="214"/>
      <c r="F81" s="214"/>
      <c r="G81" s="214"/>
      <c r="H81" s="214"/>
      <c r="I81" s="214"/>
      <c r="J81" s="214"/>
      <c r="K81" s="214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1"/>
      <c r="AG81" s="121"/>
      <c r="AH81" s="121"/>
      <c r="AI81" s="121"/>
      <c r="AJ81" s="121"/>
      <c r="AK81" s="121"/>
      <c r="AL81" s="121"/>
      <c r="AM81" s="121"/>
      <c r="AN81" s="121"/>
    </row>
    <row r="82" ht="17.25" hidden="1" customHeight="1">
      <c r="A82" s="121"/>
      <c r="B82" s="214"/>
      <c r="C82" s="214"/>
      <c r="D82" s="214"/>
      <c r="E82" s="214"/>
      <c r="F82" s="214"/>
      <c r="G82" s="214"/>
      <c r="H82" s="214"/>
      <c r="I82" s="214"/>
      <c r="J82" s="214"/>
      <c r="K82" s="214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</row>
    <row r="83" ht="17.25" hidden="1" customHeight="1">
      <c r="A83" s="121"/>
      <c r="B83" s="214"/>
      <c r="C83" s="214"/>
      <c r="D83" s="214"/>
      <c r="E83" s="214"/>
      <c r="F83" s="214"/>
      <c r="G83" s="214"/>
      <c r="H83" s="214"/>
      <c r="I83" s="214"/>
      <c r="J83" s="214"/>
      <c r="K83" s="214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</row>
    <row r="84" ht="17.25" hidden="1" customHeight="1">
      <c r="A84" s="121"/>
      <c r="B84" s="214"/>
      <c r="C84" s="214"/>
      <c r="D84" s="214"/>
      <c r="E84" s="214"/>
      <c r="F84" s="214"/>
      <c r="G84" s="214"/>
      <c r="H84" s="214"/>
      <c r="I84" s="214"/>
      <c r="J84" s="214"/>
      <c r="K84" s="214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1"/>
      <c r="AE84" s="121"/>
      <c r="AF84" s="121"/>
      <c r="AG84" s="121"/>
      <c r="AH84" s="121"/>
      <c r="AI84" s="121"/>
      <c r="AJ84" s="121"/>
      <c r="AK84" s="121"/>
      <c r="AL84" s="121"/>
      <c r="AM84" s="121"/>
      <c r="AN84" s="121"/>
    </row>
    <row r="85" ht="17.25" hidden="1" customHeight="1">
      <c r="A85" s="121"/>
      <c r="B85" s="214"/>
      <c r="C85" s="214"/>
      <c r="D85" s="214"/>
      <c r="E85" s="214"/>
      <c r="F85" s="214"/>
      <c r="G85" s="214"/>
      <c r="H85" s="214"/>
      <c r="I85" s="214"/>
      <c r="J85" s="214"/>
      <c r="K85" s="214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1"/>
      <c r="AL85" s="121"/>
      <c r="AM85" s="121"/>
      <c r="AN85" s="121"/>
    </row>
    <row r="86" ht="17.25" hidden="1" customHeight="1">
      <c r="A86" s="121"/>
      <c r="B86" s="214"/>
      <c r="C86" s="214"/>
      <c r="D86" s="214"/>
      <c r="E86" s="214"/>
      <c r="F86" s="214"/>
      <c r="G86" s="214"/>
      <c r="H86" s="214"/>
      <c r="I86" s="214"/>
      <c r="J86" s="214"/>
      <c r="K86" s="214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</row>
    <row r="87" ht="17.25" hidden="1" customHeight="1">
      <c r="A87" s="121"/>
      <c r="B87" s="214"/>
      <c r="C87" s="214"/>
      <c r="D87" s="214"/>
      <c r="E87" s="214"/>
      <c r="F87" s="214"/>
      <c r="G87" s="214"/>
      <c r="H87" s="214"/>
      <c r="I87" s="214"/>
      <c r="J87" s="214"/>
      <c r="K87" s="214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</row>
    <row r="88" ht="17.25" hidden="1" customHeight="1">
      <c r="A88" s="121"/>
      <c r="B88" s="214"/>
      <c r="C88" s="214"/>
      <c r="D88" s="214"/>
      <c r="E88" s="214"/>
      <c r="F88" s="214"/>
      <c r="G88" s="214"/>
      <c r="H88" s="214"/>
      <c r="I88" s="214"/>
      <c r="J88" s="214"/>
      <c r="K88" s="214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</row>
    <row r="89" ht="17.25" hidden="1" customHeight="1">
      <c r="A89" s="121"/>
      <c r="B89" s="214"/>
      <c r="C89" s="214"/>
      <c r="D89" s="214"/>
      <c r="E89" s="214"/>
      <c r="F89" s="214"/>
      <c r="G89" s="214"/>
      <c r="H89" s="214"/>
      <c r="I89" s="214"/>
      <c r="J89" s="214"/>
      <c r="K89" s="214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</row>
    <row r="90" ht="17.25" hidden="1" customHeight="1">
      <c r="A90" s="121"/>
      <c r="B90" s="214"/>
      <c r="C90" s="214"/>
      <c r="D90" s="214"/>
      <c r="E90" s="214"/>
      <c r="F90" s="214"/>
      <c r="G90" s="214"/>
      <c r="H90" s="214"/>
      <c r="I90" s="214"/>
      <c r="J90" s="214"/>
      <c r="K90" s="214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</row>
    <row r="91" ht="17.25" hidden="1" customHeight="1">
      <c r="A91" s="121"/>
      <c r="B91" s="214"/>
      <c r="C91" s="214"/>
      <c r="D91" s="214"/>
      <c r="E91" s="214"/>
      <c r="F91" s="214"/>
      <c r="G91" s="214"/>
      <c r="H91" s="214"/>
      <c r="I91" s="214"/>
      <c r="J91" s="214"/>
      <c r="K91" s="214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</row>
    <row r="92" ht="17.25" hidden="1" customHeight="1">
      <c r="A92" s="121"/>
      <c r="B92" s="214"/>
      <c r="C92" s="214"/>
      <c r="D92" s="214"/>
      <c r="E92" s="214"/>
      <c r="F92" s="214"/>
      <c r="G92" s="214"/>
      <c r="H92" s="214"/>
      <c r="I92" s="214"/>
      <c r="J92" s="214"/>
      <c r="K92" s="214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</row>
    <row r="93" ht="17.25" hidden="1" customHeight="1">
      <c r="A93" s="121"/>
      <c r="B93" s="214"/>
      <c r="C93" s="214"/>
      <c r="D93" s="214"/>
      <c r="E93" s="214"/>
      <c r="F93" s="214"/>
      <c r="G93" s="214"/>
      <c r="H93" s="214"/>
      <c r="I93" s="214"/>
      <c r="J93" s="214"/>
      <c r="K93" s="214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</row>
    <row r="94" ht="17.25" hidden="1" customHeight="1">
      <c r="A94" s="121"/>
      <c r="B94" s="213">
        <f>COUNTIF($W$43:$W$47, true)</f>
        <v>0</v>
      </c>
      <c r="C94" s="214" t="str">
        <f t="array" ref="C94:H98">$Q$43:$V$47</f>
        <v/>
      </c>
      <c r="D94" s="214"/>
      <c r="E94" s="214"/>
      <c r="F94" s="214"/>
      <c r="G94" s="214"/>
      <c r="H94" s="214"/>
      <c r="I94" s="214"/>
      <c r="J94" s="214"/>
      <c r="K94" s="214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</row>
    <row r="95" ht="17.25" hidden="1" customHeight="1">
      <c r="A95" s="121"/>
      <c r="B95" s="214"/>
      <c r="C95" s="214"/>
      <c r="D95" s="214"/>
      <c r="E95" s="214"/>
      <c r="F95" s="214"/>
      <c r="G95" s="214"/>
      <c r="H95" s="214"/>
      <c r="I95" s="214"/>
      <c r="J95" s="214"/>
      <c r="K95" s="214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</row>
    <row r="96" ht="17.25" hidden="1" customHeight="1">
      <c r="A96" s="121"/>
      <c r="B96" s="214"/>
      <c r="C96" s="214"/>
      <c r="D96" s="214"/>
      <c r="E96" s="214"/>
      <c r="F96" s="214"/>
      <c r="G96" s="214"/>
      <c r="H96" s="214"/>
      <c r="I96" s="214"/>
      <c r="J96" s="214"/>
      <c r="K96" s="214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1"/>
      <c r="AH96" s="121"/>
      <c r="AI96" s="121"/>
      <c r="AJ96" s="121"/>
      <c r="AK96" s="121"/>
      <c r="AL96" s="121"/>
      <c r="AM96" s="121"/>
      <c r="AN96" s="121"/>
    </row>
    <row r="97" ht="17.25" hidden="1" customHeight="1">
      <c r="A97" s="121"/>
      <c r="B97" s="214"/>
      <c r="C97" s="214"/>
      <c r="D97" s="214"/>
      <c r="E97" s="214"/>
      <c r="F97" s="214"/>
      <c r="G97" s="214"/>
      <c r="H97" s="214"/>
      <c r="I97" s="214"/>
      <c r="J97" s="214"/>
      <c r="K97" s="214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  <c r="AA97" s="121"/>
      <c r="AB97" s="121"/>
      <c r="AC97" s="121"/>
      <c r="AD97" s="121"/>
      <c r="AE97" s="121"/>
      <c r="AF97" s="121"/>
      <c r="AG97" s="121"/>
      <c r="AH97" s="121"/>
      <c r="AI97" s="121"/>
      <c r="AJ97" s="121"/>
      <c r="AK97" s="121"/>
      <c r="AL97" s="121"/>
      <c r="AM97" s="121"/>
      <c r="AN97" s="121"/>
    </row>
    <row r="98" ht="17.25" hidden="1" customHeight="1">
      <c r="A98" s="121"/>
      <c r="B98" s="214"/>
      <c r="C98" s="214"/>
      <c r="D98" s="214"/>
      <c r="E98" s="214"/>
      <c r="F98" s="214"/>
      <c r="G98" s="214"/>
      <c r="H98" s="214"/>
      <c r="I98" s="214"/>
      <c r="J98" s="214"/>
      <c r="K98" s="214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1"/>
      <c r="AH98" s="121"/>
      <c r="AI98" s="121"/>
      <c r="AJ98" s="121"/>
      <c r="AK98" s="121"/>
      <c r="AL98" s="121"/>
      <c r="AM98" s="121"/>
      <c r="AN98" s="121"/>
    </row>
    <row r="99" ht="17.25" hidden="1" customHeight="1">
      <c r="A99" s="121"/>
      <c r="B99" s="214"/>
      <c r="C99" s="214"/>
      <c r="D99" s="214"/>
      <c r="E99" s="214"/>
      <c r="F99" s="214"/>
      <c r="G99" s="214"/>
      <c r="H99" s="214"/>
      <c r="I99" s="214"/>
      <c r="J99" s="214"/>
      <c r="K99" s="214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  <c r="AA99" s="121"/>
      <c r="AB99" s="121"/>
      <c r="AC99" s="121"/>
      <c r="AD99" s="121"/>
      <c r="AE99" s="121"/>
      <c r="AF99" s="121"/>
      <c r="AG99" s="121"/>
      <c r="AH99" s="121"/>
      <c r="AI99" s="121"/>
      <c r="AJ99" s="121"/>
      <c r="AK99" s="121"/>
      <c r="AL99" s="121"/>
      <c r="AM99" s="121"/>
      <c r="AN99" s="121"/>
    </row>
    <row r="100" ht="17.25" hidden="1" customHeight="1">
      <c r="A100" s="121"/>
      <c r="B100" s="214"/>
      <c r="C100" s="214"/>
      <c r="D100" s="214"/>
      <c r="E100" s="214"/>
      <c r="F100" s="214"/>
      <c r="G100" s="214"/>
      <c r="H100" s="214"/>
      <c r="I100" s="214"/>
      <c r="J100" s="214"/>
      <c r="K100" s="214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  <c r="AA100" s="121"/>
      <c r="AB100" s="121"/>
      <c r="AC100" s="121"/>
      <c r="AD100" s="121"/>
      <c r="AE100" s="121"/>
      <c r="AF100" s="121"/>
      <c r="AG100" s="121"/>
      <c r="AH100" s="121"/>
      <c r="AI100" s="121"/>
      <c r="AJ100" s="121"/>
      <c r="AK100" s="121"/>
      <c r="AL100" s="121"/>
      <c r="AM100" s="121"/>
      <c r="AN100" s="121"/>
    </row>
    <row r="101" ht="17.25" hidden="1" customHeight="1">
      <c r="A101" s="121"/>
      <c r="B101" s="214"/>
      <c r="C101" s="214"/>
      <c r="D101" s="214"/>
      <c r="E101" s="214"/>
      <c r="F101" s="214"/>
      <c r="G101" s="214"/>
      <c r="H101" s="214"/>
      <c r="I101" s="214"/>
      <c r="J101" s="214"/>
      <c r="K101" s="214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  <c r="AA101" s="121"/>
      <c r="AB101" s="121"/>
      <c r="AC101" s="121"/>
      <c r="AD101" s="121"/>
      <c r="AE101" s="121"/>
      <c r="AF101" s="121"/>
      <c r="AG101" s="121"/>
      <c r="AH101" s="121"/>
      <c r="AI101" s="121"/>
      <c r="AJ101" s="121"/>
      <c r="AK101" s="121"/>
      <c r="AL101" s="121"/>
      <c r="AM101" s="121"/>
      <c r="AN101" s="121"/>
    </row>
    <row r="102" ht="17.25" hidden="1" customHeight="1">
      <c r="A102" s="121"/>
      <c r="B102" s="214"/>
      <c r="C102" s="214"/>
      <c r="D102" s="214"/>
      <c r="E102" s="214"/>
      <c r="F102" s="214"/>
      <c r="G102" s="214"/>
      <c r="H102" s="214"/>
      <c r="I102" s="214"/>
      <c r="J102" s="214"/>
      <c r="K102" s="214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  <c r="AA102" s="121"/>
      <c r="AB102" s="121"/>
      <c r="AC102" s="121"/>
      <c r="AD102" s="121"/>
      <c r="AE102" s="121"/>
      <c r="AF102" s="121"/>
      <c r="AG102" s="121"/>
      <c r="AH102" s="121"/>
      <c r="AI102" s="121"/>
      <c r="AJ102" s="121"/>
      <c r="AK102" s="121"/>
      <c r="AL102" s="121"/>
      <c r="AM102" s="121"/>
      <c r="AN102" s="121"/>
    </row>
    <row r="103" ht="17.25" hidden="1" customHeight="1">
      <c r="A103" s="121"/>
      <c r="B103" s="214"/>
      <c r="C103" s="214"/>
      <c r="D103" s="214"/>
      <c r="E103" s="214"/>
      <c r="F103" s="214"/>
      <c r="G103" s="214"/>
      <c r="H103" s="214"/>
      <c r="I103" s="214"/>
      <c r="J103" s="214"/>
      <c r="K103" s="214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  <c r="AA103" s="121"/>
      <c r="AB103" s="121"/>
      <c r="AC103" s="121"/>
      <c r="AD103" s="121"/>
      <c r="AE103" s="121"/>
      <c r="AF103" s="121"/>
      <c r="AG103" s="121"/>
      <c r="AH103" s="121"/>
      <c r="AI103" s="121"/>
      <c r="AJ103" s="121"/>
      <c r="AK103" s="121"/>
      <c r="AL103" s="121"/>
      <c r="AM103" s="121"/>
      <c r="AN103" s="121"/>
    </row>
    <row r="104" ht="17.25" hidden="1" customHeight="1">
      <c r="A104" s="121"/>
      <c r="B104" s="214"/>
      <c r="C104" s="214"/>
      <c r="D104" s="214"/>
      <c r="E104" s="214"/>
      <c r="F104" s="214"/>
      <c r="G104" s="214"/>
      <c r="H104" s="214"/>
      <c r="I104" s="214"/>
      <c r="J104" s="214"/>
      <c r="K104" s="214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  <c r="AA104" s="121"/>
      <c r="AB104" s="121"/>
      <c r="AC104" s="121"/>
      <c r="AD104" s="121"/>
      <c r="AE104" s="121"/>
      <c r="AF104" s="121"/>
      <c r="AG104" s="121"/>
      <c r="AH104" s="121"/>
      <c r="AI104" s="121"/>
      <c r="AJ104" s="121"/>
      <c r="AK104" s="121"/>
      <c r="AL104" s="121"/>
      <c r="AM104" s="121"/>
      <c r="AN104" s="121"/>
    </row>
    <row r="105" ht="17.25" hidden="1" customHeight="1">
      <c r="A105" s="121"/>
      <c r="B105" s="214"/>
      <c r="C105" s="214"/>
      <c r="D105" s="214"/>
      <c r="E105" s="214"/>
      <c r="F105" s="214"/>
      <c r="G105" s="214"/>
      <c r="H105" s="214"/>
      <c r="I105" s="214"/>
      <c r="J105" s="214"/>
      <c r="K105" s="214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  <c r="AA105" s="121"/>
      <c r="AB105" s="121"/>
      <c r="AC105" s="121"/>
      <c r="AD105" s="121"/>
      <c r="AE105" s="121"/>
      <c r="AF105" s="121"/>
      <c r="AG105" s="121"/>
      <c r="AH105" s="121"/>
      <c r="AI105" s="121"/>
      <c r="AJ105" s="121"/>
      <c r="AK105" s="121"/>
      <c r="AL105" s="121"/>
      <c r="AM105" s="121"/>
      <c r="AN105" s="121"/>
    </row>
    <row r="106" ht="17.25" hidden="1" customHeight="1">
      <c r="A106" s="121"/>
      <c r="B106" s="214"/>
      <c r="C106" s="214"/>
      <c r="D106" s="214"/>
      <c r="E106" s="214"/>
      <c r="F106" s="214"/>
      <c r="G106" s="214"/>
      <c r="H106" s="214"/>
      <c r="I106" s="214"/>
      <c r="J106" s="214"/>
      <c r="K106" s="214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  <c r="AA106" s="121"/>
      <c r="AB106" s="121"/>
      <c r="AC106" s="121"/>
      <c r="AD106" s="121"/>
      <c r="AE106" s="121"/>
      <c r="AF106" s="121"/>
      <c r="AG106" s="121"/>
      <c r="AH106" s="121"/>
      <c r="AI106" s="121"/>
      <c r="AJ106" s="121"/>
      <c r="AK106" s="121"/>
      <c r="AL106" s="121"/>
      <c r="AM106" s="121"/>
      <c r="AN106" s="121"/>
    </row>
    <row r="107" ht="17.25" hidden="1" customHeight="1">
      <c r="A107" s="121"/>
      <c r="B107" s="214"/>
      <c r="C107" s="214"/>
      <c r="D107" s="214"/>
      <c r="E107" s="214"/>
      <c r="F107" s="214"/>
      <c r="G107" s="214"/>
      <c r="H107" s="214"/>
      <c r="I107" s="214"/>
      <c r="J107" s="214"/>
      <c r="K107" s="214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  <c r="AA107" s="121"/>
      <c r="AB107" s="121"/>
      <c r="AC107" s="121"/>
      <c r="AD107" s="121"/>
      <c r="AE107" s="121"/>
      <c r="AF107" s="121"/>
      <c r="AG107" s="121"/>
      <c r="AH107" s="121"/>
      <c r="AI107" s="121"/>
      <c r="AJ107" s="121"/>
      <c r="AK107" s="121"/>
      <c r="AL107" s="121"/>
      <c r="AM107" s="121"/>
      <c r="AN107" s="121"/>
    </row>
    <row r="108" ht="17.25" hidden="1" customHeight="1">
      <c r="A108" s="121"/>
      <c r="B108" s="214"/>
      <c r="C108" s="214"/>
      <c r="D108" s="214"/>
      <c r="E108" s="214"/>
      <c r="F108" s="214"/>
      <c r="G108" s="214"/>
      <c r="H108" s="214"/>
      <c r="I108" s="214"/>
      <c r="J108" s="214"/>
      <c r="K108" s="214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  <c r="AA108" s="121"/>
      <c r="AB108" s="121"/>
      <c r="AC108" s="121"/>
      <c r="AD108" s="121"/>
      <c r="AE108" s="121"/>
      <c r="AF108" s="121"/>
      <c r="AG108" s="121"/>
      <c r="AH108" s="121"/>
      <c r="AI108" s="121"/>
      <c r="AJ108" s="121"/>
      <c r="AK108" s="121"/>
      <c r="AL108" s="121"/>
      <c r="AM108" s="121"/>
      <c r="AN108" s="121"/>
    </row>
    <row r="109" ht="17.25" hidden="1" customHeight="1">
      <c r="A109" s="121"/>
      <c r="B109" s="214"/>
      <c r="C109" s="214"/>
      <c r="D109" s="214"/>
      <c r="E109" s="214"/>
      <c r="F109" s="214"/>
      <c r="G109" s="214"/>
      <c r="H109" s="214"/>
      <c r="I109" s="214"/>
      <c r="J109" s="214"/>
      <c r="K109" s="214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  <c r="AA109" s="121"/>
      <c r="AB109" s="121"/>
      <c r="AC109" s="121"/>
      <c r="AD109" s="121"/>
      <c r="AE109" s="121"/>
      <c r="AF109" s="121"/>
      <c r="AG109" s="121"/>
      <c r="AH109" s="121"/>
      <c r="AI109" s="121"/>
      <c r="AJ109" s="121"/>
      <c r="AK109" s="121"/>
      <c r="AL109" s="121"/>
      <c r="AM109" s="121"/>
      <c r="AN109" s="121"/>
    </row>
    <row r="110" ht="17.25" hidden="1" customHeight="1">
      <c r="A110" s="121"/>
      <c r="B110" s="213">
        <f>COUNTIF($AD$43:$AD$47, true)</f>
        <v>0</v>
      </c>
      <c r="C110" s="214" t="str">
        <f t="array" ref="C110:H114">$X$43:$AC$47</f>
        <v/>
      </c>
      <c r="D110" s="214"/>
      <c r="E110" s="214"/>
      <c r="F110" s="214"/>
      <c r="G110" s="214"/>
      <c r="H110" s="214"/>
      <c r="I110" s="214"/>
      <c r="J110" s="214"/>
      <c r="K110" s="214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121"/>
      <c r="AK110" s="121"/>
      <c r="AL110" s="121"/>
      <c r="AM110" s="121"/>
      <c r="AN110" s="121"/>
    </row>
    <row r="111" ht="17.25" hidden="1" customHeight="1">
      <c r="A111" s="121"/>
      <c r="B111" s="214"/>
      <c r="C111" s="214"/>
      <c r="D111" s="214"/>
      <c r="E111" s="214"/>
      <c r="F111" s="214"/>
      <c r="G111" s="214"/>
      <c r="H111" s="214"/>
      <c r="I111" s="214"/>
      <c r="J111" s="214"/>
      <c r="K111" s="214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  <c r="AA111" s="121"/>
      <c r="AB111" s="121"/>
      <c r="AC111" s="121"/>
      <c r="AD111" s="121"/>
      <c r="AE111" s="121"/>
      <c r="AF111" s="121"/>
      <c r="AG111" s="121"/>
      <c r="AH111" s="121"/>
      <c r="AI111" s="121"/>
      <c r="AJ111" s="121"/>
      <c r="AK111" s="121"/>
      <c r="AL111" s="121"/>
      <c r="AM111" s="121"/>
      <c r="AN111" s="121"/>
    </row>
    <row r="112" ht="17.25" hidden="1" customHeight="1">
      <c r="A112" s="121"/>
      <c r="B112" s="214"/>
      <c r="C112" s="214"/>
      <c r="D112" s="214"/>
      <c r="E112" s="214"/>
      <c r="F112" s="214"/>
      <c r="G112" s="214"/>
      <c r="H112" s="214"/>
      <c r="I112" s="214"/>
      <c r="J112" s="214"/>
      <c r="K112" s="214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  <c r="AA112" s="121"/>
      <c r="AB112" s="121"/>
      <c r="AC112" s="121"/>
      <c r="AD112" s="121"/>
      <c r="AE112" s="121"/>
      <c r="AF112" s="121"/>
      <c r="AG112" s="121"/>
      <c r="AH112" s="121"/>
      <c r="AI112" s="121"/>
      <c r="AJ112" s="121"/>
      <c r="AK112" s="121"/>
      <c r="AL112" s="121"/>
      <c r="AM112" s="121"/>
      <c r="AN112" s="121"/>
    </row>
    <row r="113" ht="17.25" hidden="1" customHeight="1">
      <c r="A113" s="121"/>
      <c r="B113" s="214"/>
      <c r="C113" s="214"/>
      <c r="D113" s="214"/>
      <c r="E113" s="214"/>
      <c r="F113" s="214"/>
      <c r="G113" s="214"/>
      <c r="H113" s="214"/>
      <c r="I113" s="214"/>
      <c r="J113" s="214"/>
      <c r="K113" s="214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  <c r="AA113" s="121"/>
      <c r="AB113" s="121"/>
      <c r="AC113" s="121"/>
      <c r="AD113" s="121"/>
      <c r="AE113" s="121"/>
      <c r="AF113" s="121"/>
      <c r="AG113" s="121"/>
      <c r="AH113" s="121"/>
      <c r="AI113" s="121"/>
      <c r="AJ113" s="121"/>
      <c r="AK113" s="121"/>
      <c r="AL113" s="121"/>
      <c r="AM113" s="121"/>
      <c r="AN113" s="121"/>
    </row>
    <row r="114" ht="17.25" hidden="1" customHeight="1">
      <c r="A114" s="121"/>
      <c r="B114" s="214"/>
      <c r="C114" s="214"/>
      <c r="D114" s="214"/>
      <c r="E114" s="214"/>
      <c r="F114" s="214"/>
      <c r="G114" s="214"/>
      <c r="H114" s="214"/>
      <c r="I114" s="214"/>
      <c r="J114" s="214"/>
      <c r="K114" s="214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  <c r="AA114" s="121"/>
      <c r="AB114" s="121"/>
      <c r="AC114" s="121"/>
      <c r="AD114" s="121"/>
      <c r="AE114" s="121"/>
      <c r="AF114" s="121"/>
      <c r="AG114" s="121"/>
      <c r="AH114" s="121"/>
      <c r="AI114" s="121"/>
      <c r="AJ114" s="121"/>
      <c r="AK114" s="121"/>
      <c r="AL114" s="121"/>
      <c r="AM114" s="121"/>
      <c r="AN114" s="121"/>
    </row>
    <row r="115" ht="17.25" hidden="1" customHeight="1">
      <c r="A115" s="121"/>
      <c r="B115" s="214"/>
      <c r="C115" s="214"/>
      <c r="D115" s="214"/>
      <c r="E115" s="214"/>
      <c r="F115" s="214"/>
      <c r="G115" s="214"/>
      <c r="H115" s="214"/>
      <c r="I115" s="214"/>
      <c r="J115" s="214"/>
      <c r="K115" s="214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  <c r="AA115" s="121"/>
      <c r="AB115" s="121"/>
      <c r="AC115" s="121"/>
      <c r="AD115" s="121"/>
      <c r="AE115" s="121"/>
      <c r="AF115" s="121"/>
      <c r="AG115" s="121"/>
      <c r="AH115" s="121"/>
      <c r="AI115" s="121"/>
      <c r="AJ115" s="121"/>
      <c r="AK115" s="121"/>
      <c r="AL115" s="121"/>
      <c r="AM115" s="121"/>
      <c r="AN115" s="121"/>
    </row>
    <row r="116" ht="17.25" hidden="1" customHeight="1">
      <c r="A116" s="121"/>
      <c r="B116" s="214"/>
      <c r="C116" s="214"/>
      <c r="D116" s="214"/>
      <c r="E116" s="214"/>
      <c r="F116" s="214"/>
      <c r="G116" s="214"/>
      <c r="H116" s="214"/>
      <c r="I116" s="214"/>
      <c r="J116" s="214"/>
      <c r="K116" s="214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  <c r="AA116" s="121"/>
      <c r="AB116" s="121"/>
      <c r="AC116" s="121"/>
      <c r="AD116" s="121"/>
      <c r="AE116" s="121"/>
      <c r="AF116" s="121"/>
      <c r="AG116" s="121"/>
      <c r="AH116" s="121"/>
      <c r="AI116" s="121"/>
      <c r="AJ116" s="121"/>
      <c r="AK116" s="121"/>
      <c r="AL116" s="121"/>
      <c r="AM116" s="121"/>
      <c r="AN116" s="121"/>
    </row>
    <row r="117" ht="17.25" hidden="1" customHeight="1">
      <c r="A117" s="121"/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121"/>
      <c r="AF117" s="121"/>
      <c r="AG117" s="121"/>
      <c r="AH117" s="121"/>
      <c r="AI117" s="121"/>
      <c r="AJ117" s="121"/>
      <c r="AK117" s="121"/>
      <c r="AL117" s="121"/>
      <c r="AM117" s="121"/>
      <c r="AN117" s="121"/>
    </row>
    <row r="118" ht="17.25" hidden="1" customHeight="1">
      <c r="A118" s="121"/>
      <c r="B118" s="214"/>
      <c r="C118" s="214"/>
      <c r="D118" s="214"/>
      <c r="E118" s="214"/>
      <c r="F118" s="214"/>
      <c r="G118" s="214"/>
      <c r="H118" s="214"/>
      <c r="I118" s="214"/>
      <c r="J118" s="214"/>
      <c r="K118" s="214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  <c r="AA118" s="121"/>
      <c r="AB118" s="121"/>
      <c r="AC118" s="121"/>
      <c r="AD118" s="121"/>
      <c r="AE118" s="121"/>
      <c r="AF118" s="121"/>
      <c r="AG118" s="121"/>
      <c r="AH118" s="121"/>
      <c r="AI118" s="121"/>
      <c r="AJ118" s="121"/>
      <c r="AK118" s="121"/>
      <c r="AL118" s="121"/>
      <c r="AM118" s="121"/>
      <c r="AN118" s="121"/>
    </row>
    <row r="119" ht="17.25" hidden="1" customHeight="1">
      <c r="A119" s="121"/>
      <c r="B119" s="214"/>
      <c r="C119" s="214"/>
      <c r="D119" s="214"/>
      <c r="E119" s="214"/>
      <c r="F119" s="214"/>
      <c r="G119" s="214"/>
      <c r="H119" s="214"/>
      <c r="I119" s="214"/>
      <c r="J119" s="214"/>
      <c r="K119" s="214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  <c r="AA119" s="121"/>
      <c r="AB119" s="121"/>
      <c r="AC119" s="121"/>
      <c r="AD119" s="121"/>
      <c r="AE119" s="121"/>
      <c r="AF119" s="121"/>
      <c r="AG119" s="121"/>
      <c r="AH119" s="121"/>
      <c r="AI119" s="121"/>
      <c r="AJ119" s="121"/>
      <c r="AK119" s="121"/>
      <c r="AL119" s="121"/>
      <c r="AM119" s="121"/>
      <c r="AN119" s="121"/>
    </row>
    <row r="120" ht="17.25" hidden="1" customHeight="1">
      <c r="A120" s="121"/>
      <c r="B120" s="214"/>
      <c r="C120" s="214"/>
      <c r="D120" s="214"/>
      <c r="E120" s="214"/>
      <c r="F120" s="214"/>
      <c r="G120" s="214"/>
      <c r="H120" s="214"/>
      <c r="I120" s="214"/>
      <c r="J120" s="214"/>
      <c r="K120" s="214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</row>
    <row r="121" ht="17.25" hidden="1" customHeight="1">
      <c r="A121" s="121"/>
      <c r="B121" s="214"/>
      <c r="C121" s="214"/>
      <c r="D121" s="214"/>
      <c r="E121" s="214"/>
      <c r="F121" s="214"/>
      <c r="G121" s="214"/>
      <c r="H121" s="214"/>
      <c r="I121" s="214"/>
      <c r="J121" s="214"/>
      <c r="K121" s="214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</row>
    <row r="122" ht="17.25" hidden="1" customHeight="1">
      <c r="A122" s="121"/>
      <c r="B122" s="214"/>
      <c r="C122" s="214"/>
      <c r="D122" s="214"/>
      <c r="E122" s="214"/>
      <c r="F122" s="214"/>
      <c r="G122" s="214"/>
      <c r="H122" s="214"/>
      <c r="I122" s="214"/>
      <c r="J122" s="214"/>
      <c r="K122" s="214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  <c r="AA122" s="121"/>
      <c r="AB122" s="121"/>
      <c r="AC122" s="121"/>
      <c r="AD122" s="121"/>
      <c r="AE122" s="121"/>
      <c r="AF122" s="121"/>
      <c r="AG122" s="121"/>
      <c r="AH122" s="121"/>
      <c r="AI122" s="121"/>
      <c r="AJ122" s="121"/>
      <c r="AK122" s="121"/>
      <c r="AL122" s="121"/>
      <c r="AM122" s="121"/>
      <c r="AN122" s="121"/>
    </row>
    <row r="123" ht="17.25" hidden="1" customHeight="1">
      <c r="A123" s="121"/>
      <c r="B123" s="214"/>
      <c r="C123" s="214"/>
      <c r="D123" s="214"/>
      <c r="E123" s="214"/>
      <c r="F123" s="214"/>
      <c r="G123" s="214"/>
      <c r="H123" s="214"/>
      <c r="I123" s="214"/>
      <c r="J123" s="214"/>
      <c r="K123" s="214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1"/>
      <c r="AL123" s="121"/>
      <c r="AM123" s="121"/>
      <c r="AN123" s="121"/>
    </row>
    <row r="124" ht="17.25" hidden="1" customHeight="1">
      <c r="A124" s="121"/>
      <c r="B124" s="214"/>
      <c r="C124" s="214"/>
      <c r="D124" s="214"/>
      <c r="E124" s="214"/>
      <c r="F124" s="214"/>
      <c r="G124" s="214"/>
      <c r="H124" s="214"/>
      <c r="I124" s="214"/>
      <c r="J124" s="214"/>
      <c r="K124" s="214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</row>
    <row r="125" ht="17.25" hidden="1" customHeight="1">
      <c r="A125" s="121"/>
      <c r="B125" s="214"/>
      <c r="C125" s="214"/>
      <c r="D125" s="214"/>
      <c r="E125" s="214"/>
      <c r="F125" s="214"/>
      <c r="G125" s="214"/>
      <c r="H125" s="214"/>
      <c r="I125" s="214"/>
      <c r="J125" s="214"/>
      <c r="K125" s="214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</row>
    <row r="126" ht="17.25" hidden="1" customHeight="1">
      <c r="A126" s="121"/>
      <c r="B126" s="213">
        <f>COUNTIF($P$55:$P$59, true)</f>
        <v>0</v>
      </c>
      <c r="C126" s="214" t="str">
        <f t="array" ref="C126:O130">$C$55:$O$59</f>
        <v/>
      </c>
      <c r="D126" s="214"/>
      <c r="E126" s="214"/>
      <c r="F126" s="214"/>
      <c r="G126" s="214"/>
      <c r="H126" s="214"/>
      <c r="I126" s="214"/>
      <c r="J126" s="214"/>
      <c r="K126" s="214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</row>
    <row r="127" ht="17.25" hidden="1" customHeight="1">
      <c r="A127" s="121"/>
      <c r="B127" s="214"/>
      <c r="C127" s="214"/>
      <c r="D127" s="214"/>
      <c r="E127" s="214"/>
      <c r="F127" s="214"/>
      <c r="G127" s="214"/>
      <c r="H127" s="214"/>
      <c r="I127" s="214"/>
      <c r="J127" s="214"/>
      <c r="K127" s="214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</row>
    <row r="128" ht="17.25" hidden="1" customHeight="1">
      <c r="A128" s="121"/>
      <c r="B128" s="214"/>
      <c r="C128" s="214"/>
      <c r="D128" s="214"/>
      <c r="E128" s="214"/>
      <c r="F128" s="214"/>
      <c r="G128" s="214"/>
      <c r="H128" s="214"/>
      <c r="I128" s="214"/>
      <c r="J128" s="214"/>
      <c r="K128" s="214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</row>
    <row r="129" ht="17.25" hidden="1" customHeight="1">
      <c r="A129" s="121"/>
      <c r="B129" s="214"/>
      <c r="C129" s="214"/>
      <c r="D129" s="214"/>
      <c r="E129" s="214"/>
      <c r="F129" s="214"/>
      <c r="G129" s="214"/>
      <c r="H129" s="214"/>
      <c r="I129" s="214"/>
      <c r="J129" s="214"/>
      <c r="K129" s="214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</row>
    <row r="130" ht="17.25" hidden="1" customHeight="1">
      <c r="A130" s="121"/>
      <c r="B130" s="214"/>
      <c r="C130" s="214"/>
      <c r="D130" s="214"/>
      <c r="E130" s="214"/>
      <c r="F130" s="214"/>
      <c r="G130" s="214"/>
      <c r="H130" s="214"/>
      <c r="I130" s="214"/>
      <c r="J130" s="214"/>
      <c r="K130" s="214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</row>
    <row r="131" ht="17.25" hidden="1" customHeight="1">
      <c r="A131" s="121"/>
      <c r="B131" s="214"/>
      <c r="C131" s="214"/>
      <c r="D131" s="214"/>
      <c r="E131" s="214"/>
      <c r="F131" s="214"/>
      <c r="G131" s="214"/>
      <c r="H131" s="214"/>
      <c r="I131" s="214"/>
      <c r="J131" s="214"/>
      <c r="K131" s="214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</row>
    <row r="132" ht="17.25" hidden="1" customHeight="1">
      <c r="A132" s="121"/>
      <c r="B132" s="214"/>
      <c r="C132" s="214"/>
      <c r="D132" s="214"/>
      <c r="E132" s="214"/>
      <c r="F132" s="214"/>
      <c r="G132" s="214"/>
      <c r="H132" s="214"/>
      <c r="I132" s="214"/>
      <c r="J132" s="214"/>
      <c r="K132" s="214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</row>
    <row r="133" ht="17.25" hidden="1" customHeight="1">
      <c r="A133" s="121"/>
      <c r="B133" s="214"/>
      <c r="C133" s="214"/>
      <c r="D133" s="214"/>
      <c r="E133" s="214"/>
      <c r="F133" s="214"/>
      <c r="G133" s="214"/>
      <c r="H133" s="214"/>
      <c r="I133" s="214"/>
      <c r="J133" s="214"/>
      <c r="K133" s="214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</row>
    <row r="134" ht="17.25" hidden="1" customHeight="1">
      <c r="A134" s="121"/>
      <c r="B134" s="214"/>
      <c r="C134" s="214"/>
      <c r="D134" s="214"/>
      <c r="E134" s="214"/>
      <c r="F134" s="214"/>
      <c r="G134" s="214"/>
      <c r="H134" s="214"/>
      <c r="I134" s="214"/>
      <c r="J134" s="214"/>
      <c r="K134" s="214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  <c r="AA134" s="121"/>
      <c r="AB134" s="121"/>
      <c r="AC134" s="121"/>
      <c r="AD134" s="121"/>
      <c r="AE134" s="121"/>
      <c r="AF134" s="121"/>
      <c r="AG134" s="121"/>
      <c r="AH134" s="121"/>
      <c r="AI134" s="121"/>
      <c r="AJ134" s="121"/>
      <c r="AK134" s="121"/>
      <c r="AL134" s="121"/>
      <c r="AM134" s="121"/>
      <c r="AN134" s="121"/>
    </row>
    <row r="135" ht="17.25" hidden="1" customHeight="1">
      <c r="A135" s="121"/>
      <c r="B135" s="214"/>
      <c r="C135" s="214"/>
      <c r="D135" s="214"/>
      <c r="E135" s="214"/>
      <c r="F135" s="214"/>
      <c r="G135" s="214"/>
      <c r="H135" s="214"/>
      <c r="I135" s="214"/>
      <c r="J135" s="214"/>
      <c r="K135" s="214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  <c r="AA135" s="121"/>
      <c r="AB135" s="121"/>
      <c r="AC135" s="121"/>
      <c r="AD135" s="121"/>
      <c r="AE135" s="121"/>
      <c r="AF135" s="121"/>
      <c r="AG135" s="121"/>
      <c r="AH135" s="121"/>
      <c r="AI135" s="121"/>
      <c r="AJ135" s="121"/>
      <c r="AK135" s="121"/>
      <c r="AL135" s="121"/>
      <c r="AM135" s="121"/>
      <c r="AN135" s="121"/>
    </row>
    <row r="136" ht="17.25" hidden="1" customHeight="1">
      <c r="A136" s="121"/>
      <c r="B136" s="214"/>
      <c r="C136" s="214"/>
      <c r="D136" s="214"/>
      <c r="E136" s="214"/>
      <c r="F136" s="214"/>
      <c r="G136" s="214"/>
      <c r="H136" s="214"/>
      <c r="I136" s="214"/>
      <c r="J136" s="214"/>
      <c r="K136" s="214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  <c r="AA136" s="121"/>
      <c r="AB136" s="121"/>
      <c r="AC136" s="121"/>
      <c r="AD136" s="121"/>
      <c r="AE136" s="121"/>
      <c r="AF136" s="121"/>
      <c r="AG136" s="121"/>
      <c r="AH136" s="121"/>
      <c r="AI136" s="121"/>
      <c r="AJ136" s="121"/>
      <c r="AK136" s="121"/>
      <c r="AL136" s="121"/>
      <c r="AM136" s="121"/>
      <c r="AN136" s="121"/>
    </row>
    <row r="137" ht="17.25" hidden="1" customHeight="1">
      <c r="A137" s="121"/>
      <c r="B137" s="214"/>
      <c r="C137" s="214"/>
      <c r="D137" s="214"/>
      <c r="E137" s="214"/>
      <c r="F137" s="214"/>
      <c r="G137" s="214"/>
      <c r="H137" s="214"/>
      <c r="I137" s="214"/>
      <c r="J137" s="214"/>
      <c r="K137" s="214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  <c r="AA137" s="121"/>
      <c r="AB137" s="121"/>
      <c r="AC137" s="121"/>
      <c r="AD137" s="121"/>
      <c r="AE137" s="121"/>
      <c r="AF137" s="121"/>
      <c r="AG137" s="121"/>
      <c r="AH137" s="121"/>
      <c r="AI137" s="121"/>
      <c r="AJ137" s="121"/>
      <c r="AK137" s="121"/>
      <c r="AL137" s="121"/>
      <c r="AM137" s="121"/>
      <c r="AN137" s="121"/>
    </row>
    <row r="138" ht="17.25" hidden="1" customHeight="1">
      <c r="A138" s="121"/>
      <c r="B138" s="214"/>
      <c r="C138" s="214"/>
      <c r="D138" s="214"/>
      <c r="E138" s="214"/>
      <c r="F138" s="214"/>
      <c r="G138" s="214"/>
      <c r="H138" s="214"/>
      <c r="I138" s="214"/>
      <c r="J138" s="214"/>
      <c r="K138" s="214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21"/>
      <c r="AH138" s="121"/>
      <c r="AI138" s="121"/>
      <c r="AJ138" s="121"/>
      <c r="AK138" s="121"/>
      <c r="AL138" s="121"/>
      <c r="AM138" s="121"/>
      <c r="AN138" s="121"/>
    </row>
    <row r="139" ht="17.25" hidden="1" customHeight="1">
      <c r="A139" s="121"/>
      <c r="B139" s="214"/>
      <c r="C139" s="214"/>
      <c r="D139" s="214"/>
      <c r="E139" s="214"/>
      <c r="F139" s="214"/>
      <c r="G139" s="214"/>
      <c r="H139" s="214"/>
      <c r="I139" s="214"/>
      <c r="J139" s="214"/>
      <c r="K139" s="214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  <c r="AA139" s="121"/>
      <c r="AB139" s="121"/>
      <c r="AC139" s="121"/>
      <c r="AD139" s="121"/>
      <c r="AE139" s="121"/>
      <c r="AF139" s="121"/>
      <c r="AG139" s="121"/>
      <c r="AH139" s="121"/>
      <c r="AI139" s="121"/>
      <c r="AJ139" s="121"/>
      <c r="AK139" s="121"/>
      <c r="AL139" s="121"/>
      <c r="AM139" s="121"/>
      <c r="AN139" s="121"/>
    </row>
    <row r="140" ht="17.25" hidden="1" customHeight="1">
      <c r="A140" s="121"/>
      <c r="B140" s="214"/>
      <c r="C140" s="214"/>
      <c r="D140" s="214"/>
      <c r="E140" s="214"/>
      <c r="F140" s="214"/>
      <c r="G140" s="214"/>
      <c r="H140" s="214"/>
      <c r="I140" s="214"/>
      <c r="J140" s="214"/>
      <c r="K140" s="214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  <c r="AA140" s="121"/>
      <c r="AB140" s="121"/>
      <c r="AC140" s="121"/>
      <c r="AD140" s="121"/>
      <c r="AE140" s="121"/>
      <c r="AF140" s="121"/>
      <c r="AG140" s="121"/>
      <c r="AH140" s="121"/>
      <c r="AI140" s="121"/>
      <c r="AJ140" s="121"/>
      <c r="AK140" s="121"/>
      <c r="AL140" s="121"/>
      <c r="AM140" s="121"/>
      <c r="AN140" s="121"/>
    </row>
  </sheetData>
  <mergeCells count="86">
    <mergeCell ref="AI38:AM38"/>
    <mergeCell ref="AI39:AM39"/>
    <mergeCell ref="B42:B43"/>
    <mergeCell ref="C42:H42"/>
    <mergeCell ref="Q42:V42"/>
    <mergeCell ref="C43:H43"/>
    <mergeCell ref="Q43:V43"/>
    <mergeCell ref="J42:O42"/>
    <mergeCell ref="J43:O43"/>
    <mergeCell ref="C44:H44"/>
    <mergeCell ref="J44:O44"/>
    <mergeCell ref="Q44:V44"/>
    <mergeCell ref="J45:O45"/>
    <mergeCell ref="Q45:V45"/>
    <mergeCell ref="C47:H47"/>
    <mergeCell ref="C49:I49"/>
    <mergeCell ref="B49:B51"/>
    <mergeCell ref="C51:I51"/>
    <mergeCell ref="C52:H52"/>
    <mergeCell ref="B54:B55"/>
    <mergeCell ref="C45:H45"/>
    <mergeCell ref="C46:H46"/>
    <mergeCell ref="J46:O46"/>
    <mergeCell ref="Q46:V46"/>
    <mergeCell ref="J47:O47"/>
    <mergeCell ref="Q47:V47"/>
    <mergeCell ref="Q50:W50"/>
    <mergeCell ref="C55:O55"/>
    <mergeCell ref="C56:O56"/>
    <mergeCell ref="C57:O57"/>
    <mergeCell ref="C58:O58"/>
    <mergeCell ref="C59:O59"/>
    <mergeCell ref="C50:I50"/>
    <mergeCell ref="J50:P50"/>
    <mergeCell ref="J51:P51"/>
    <mergeCell ref="Q51:W51"/>
    <mergeCell ref="J52:O52"/>
    <mergeCell ref="Q52:V52"/>
    <mergeCell ref="C54:P54"/>
    <mergeCell ref="O3:T3"/>
    <mergeCell ref="O4:T4"/>
    <mergeCell ref="B7:B8"/>
    <mergeCell ref="C7:I7"/>
    <mergeCell ref="J7:P7"/>
    <mergeCell ref="Q7:W7"/>
    <mergeCell ref="B2:H2"/>
    <mergeCell ref="AG2:AM5"/>
    <mergeCell ref="B3:H4"/>
    <mergeCell ref="I3:M3"/>
    <mergeCell ref="V3:Z3"/>
    <mergeCell ref="I4:M4"/>
    <mergeCell ref="V4:Z4"/>
    <mergeCell ref="B5:H5"/>
    <mergeCell ref="AB3:AF3"/>
    <mergeCell ref="AB4:AF4"/>
    <mergeCell ref="X7:AD7"/>
    <mergeCell ref="AE7:AG7"/>
    <mergeCell ref="AI7:AJ8"/>
    <mergeCell ref="AK7:AM8"/>
    <mergeCell ref="AK10:AM10"/>
    <mergeCell ref="AK11:AM11"/>
    <mergeCell ref="AK12:AM12"/>
    <mergeCell ref="AK13:AM13"/>
    <mergeCell ref="AK14:AM14"/>
    <mergeCell ref="AK15:AM15"/>
    <mergeCell ref="AK16:AM16"/>
    <mergeCell ref="AK17:AM17"/>
    <mergeCell ref="AK18:AM18"/>
    <mergeCell ref="AK19:AM19"/>
    <mergeCell ref="AK20:AM20"/>
    <mergeCell ref="AK21:AM21"/>
    <mergeCell ref="B36:AG36"/>
    <mergeCell ref="AI36:AM36"/>
    <mergeCell ref="AI37:AM37"/>
    <mergeCell ref="X42:AC42"/>
    <mergeCell ref="X43:AC43"/>
    <mergeCell ref="X44:AC44"/>
    <mergeCell ref="X45:AC45"/>
    <mergeCell ref="X46:AC46"/>
    <mergeCell ref="X47:AC47"/>
    <mergeCell ref="J49:P49"/>
    <mergeCell ref="Q49:W49"/>
    <mergeCell ref="X49:AD49"/>
    <mergeCell ref="X50:AD50"/>
    <mergeCell ref="X51:AD51"/>
    <mergeCell ref="X52:AC52"/>
  </mergeCells>
  <conditionalFormatting sqref="C23:AG23">
    <cfRule type="cellIs" dxfId="0" priority="1" operator="greaterThanOrEqual">
      <formula>"75%"</formula>
    </cfRule>
  </conditionalFormatting>
  <dataValidations>
    <dataValidation type="list" allowBlank="1" showErrorMessage="1" sqref="C37:AG39">
      <formula1>"10,9,8,7,6,5,4,3,2,1"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2" width="25.88"/>
    <col customWidth="1" min="3" max="19" width="4.25"/>
    <col customWidth="1" min="20" max="20" width="6.88"/>
    <col customWidth="1" min="21" max="33" width="4.25"/>
    <col customWidth="1" min="34" max="40" width="4.75"/>
  </cols>
  <sheetData>
    <row r="1" ht="17.25" customHeight="1">
      <c r="A1" s="120"/>
      <c r="B1" s="121"/>
      <c r="C1" s="122"/>
      <c r="D1" s="120"/>
      <c r="E1" s="121"/>
      <c r="F1" s="121"/>
      <c r="G1" s="121"/>
      <c r="H1" s="121"/>
      <c r="I1" s="121"/>
      <c r="J1" s="121"/>
      <c r="K1" s="121"/>
      <c r="L1" s="121"/>
      <c r="M1" s="123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</row>
    <row r="2" ht="17.25" customHeight="1">
      <c r="A2" s="120"/>
      <c r="B2" s="124"/>
      <c r="C2" s="21"/>
      <c r="D2" s="21"/>
      <c r="E2" s="21"/>
      <c r="F2" s="21"/>
      <c r="G2" s="21"/>
      <c r="H2" s="21"/>
      <c r="I2" s="125"/>
      <c r="J2" s="125"/>
      <c r="K2" s="125"/>
      <c r="L2" s="125"/>
      <c r="M2" s="126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21"/>
      <c r="AI2" s="21"/>
      <c r="AJ2" s="21"/>
      <c r="AK2" s="21"/>
      <c r="AL2" s="21"/>
      <c r="AM2" s="42"/>
      <c r="AN2" s="121"/>
    </row>
    <row r="3" ht="17.25" customHeight="1">
      <c r="A3" s="120"/>
      <c r="B3" s="33" t="s">
        <v>34</v>
      </c>
      <c r="I3" s="29" t="s">
        <v>39</v>
      </c>
      <c r="N3" s="127"/>
      <c r="O3" s="29" t="s">
        <v>41</v>
      </c>
      <c r="U3" s="127"/>
      <c r="V3" s="29" t="s">
        <v>42</v>
      </c>
      <c r="AA3" s="127"/>
      <c r="AB3" s="29" t="s">
        <v>26</v>
      </c>
      <c r="AM3" s="105"/>
      <c r="AN3" s="121"/>
    </row>
    <row r="4" ht="17.25" customHeight="1">
      <c r="A4" s="120"/>
      <c r="B4" s="85"/>
      <c r="I4" s="128">
        <f>SUM(countA($B$10:$B$21),$I$62)</f>
        <v>0</v>
      </c>
      <c r="N4" s="129"/>
      <c r="O4" s="130">
        <f>SUM(COUNTIF($C$10:$AG$21, true),$J$62)</f>
        <v>0</v>
      </c>
      <c r="U4" s="129"/>
      <c r="V4" s="131" t="str">
        <f>IFERROR(__xludf.DUMMYFUNCTION("iferror(SPARKLINE($AB$4:$AF$4,{""charttype"",""bar"";""max"",1;""color1"",""#c9e4b2""}))"),"")</f>
        <v/>
      </c>
      <c r="AA4" s="129"/>
      <c r="AB4" s="132">
        <f>$O$4/SUM(COUNTA($C$10:$AG$21),$K$62)</f>
        <v>0</v>
      </c>
      <c r="AM4" s="105"/>
      <c r="AN4" s="121"/>
    </row>
    <row r="5" ht="17.25" customHeight="1">
      <c r="A5" s="120"/>
      <c r="B5" s="133"/>
      <c r="C5" s="37"/>
      <c r="D5" s="37"/>
      <c r="E5" s="37"/>
      <c r="F5" s="37"/>
      <c r="G5" s="37"/>
      <c r="H5" s="37"/>
      <c r="I5" s="134"/>
      <c r="J5" s="134"/>
      <c r="K5" s="134"/>
      <c r="L5" s="134"/>
      <c r="M5" s="135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4"/>
      <c r="AG5" s="37"/>
      <c r="AH5" s="37"/>
      <c r="AI5" s="37"/>
      <c r="AJ5" s="37"/>
      <c r="AK5" s="37"/>
      <c r="AL5" s="37"/>
      <c r="AM5" s="44"/>
      <c r="AN5" s="121"/>
    </row>
    <row r="6" ht="17.25" customHeight="1">
      <c r="A6" s="120"/>
      <c r="B6" s="121"/>
      <c r="C6" s="122"/>
      <c r="D6" s="120"/>
      <c r="E6" s="121"/>
      <c r="F6" s="121"/>
      <c r="G6" s="121"/>
      <c r="H6" s="121"/>
      <c r="I6" s="121"/>
      <c r="J6" s="121"/>
      <c r="K6" s="121"/>
      <c r="L6" s="121"/>
      <c r="M6" s="123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</row>
    <row r="7" ht="17.25" customHeight="1">
      <c r="A7" s="120"/>
      <c r="B7" s="136" t="s">
        <v>43</v>
      </c>
      <c r="C7" s="190" t="s">
        <v>44</v>
      </c>
      <c r="D7" s="46"/>
      <c r="E7" s="46"/>
      <c r="F7" s="46"/>
      <c r="G7" s="46"/>
      <c r="H7" s="46"/>
      <c r="I7" s="47"/>
      <c r="J7" s="216" t="s">
        <v>45</v>
      </c>
      <c r="K7" s="46"/>
      <c r="L7" s="46"/>
      <c r="M7" s="46"/>
      <c r="N7" s="46"/>
      <c r="O7" s="46"/>
      <c r="P7" s="47"/>
      <c r="Q7" s="217" t="s">
        <v>46</v>
      </c>
      <c r="R7" s="46"/>
      <c r="S7" s="46"/>
      <c r="T7" s="46"/>
      <c r="U7" s="46"/>
      <c r="V7" s="46"/>
      <c r="W7" s="47"/>
      <c r="X7" s="218" t="s">
        <v>47</v>
      </c>
      <c r="Y7" s="46"/>
      <c r="Z7" s="46"/>
      <c r="AA7" s="46"/>
      <c r="AB7" s="46"/>
      <c r="AC7" s="46"/>
      <c r="AD7" s="47"/>
      <c r="AE7" s="141"/>
      <c r="AF7" s="46"/>
      <c r="AG7" s="47"/>
      <c r="AH7" s="121"/>
      <c r="AI7" s="62" t="s">
        <v>48</v>
      </c>
      <c r="AJ7" s="42"/>
      <c r="AK7" s="62" t="s">
        <v>49</v>
      </c>
      <c r="AL7" s="21"/>
      <c r="AM7" s="42"/>
      <c r="AN7" s="121"/>
    </row>
    <row r="8" ht="17.25" customHeight="1">
      <c r="A8" s="121"/>
      <c r="B8" s="86"/>
      <c r="C8" s="143">
        <f>weekday(date(Dashboard!$Q$3,$AG$45,C9),1)</f>
        <v>6</v>
      </c>
      <c r="D8" s="143">
        <f>weekday(date(Dashboard!$Q$3,$AG$45,D9),1)</f>
        <v>7</v>
      </c>
      <c r="E8" s="143">
        <f>weekday(date(Dashboard!$Q$3,$AG$45,E9),1)</f>
        <v>1</v>
      </c>
      <c r="F8" s="143">
        <f>weekday(date(Dashboard!$Q$3,$AG$45,F9),1)</f>
        <v>2</v>
      </c>
      <c r="G8" s="143">
        <f>weekday(date(Dashboard!$Q$3,$AG$45,G9),1)</f>
        <v>3</v>
      </c>
      <c r="H8" s="143">
        <f>weekday(date(Dashboard!$Q$3,$AG$45,H9),1)</f>
        <v>4</v>
      </c>
      <c r="I8" s="143">
        <f>weekday(date(Dashboard!$Q$3,$AG$45,I9),1)</f>
        <v>5</v>
      </c>
      <c r="J8" s="144">
        <f>weekday(date(Dashboard!$Q$3,$AG$45,J9),1)</f>
        <v>6</v>
      </c>
      <c r="K8" s="144">
        <f>weekday(date(Dashboard!$Q$3,$AG$45,K9),1)</f>
        <v>7</v>
      </c>
      <c r="L8" s="144">
        <f>weekday(date(Dashboard!$Q$3,$AG$45,L9),1)</f>
        <v>1</v>
      </c>
      <c r="M8" s="144">
        <f>weekday(date(Dashboard!$Q$3,$AG$45,M9),1)</f>
        <v>2</v>
      </c>
      <c r="N8" s="144">
        <f>weekday(date(Dashboard!$Q$3,$AG$45,N9),1)</f>
        <v>3</v>
      </c>
      <c r="O8" s="144">
        <f>weekday(date(Dashboard!$Q$3,$AG$45,O9),1)</f>
        <v>4</v>
      </c>
      <c r="P8" s="144">
        <f>weekday(date(Dashboard!$Q$3,$AG$45,P9),1)</f>
        <v>5</v>
      </c>
      <c r="Q8" s="145">
        <f>weekday(date(Dashboard!$Q$3,$AG$45,Q9),1)</f>
        <v>6</v>
      </c>
      <c r="R8" s="145">
        <f>weekday(date(Dashboard!$Q$3,$AG$45,R9),1)</f>
        <v>7</v>
      </c>
      <c r="S8" s="145">
        <f>weekday(date(Dashboard!$Q$3,$AG$45,S9),1)</f>
        <v>1</v>
      </c>
      <c r="T8" s="145">
        <f>weekday(date(Dashboard!$Q$3,$AG$45,T9),1)</f>
        <v>2</v>
      </c>
      <c r="U8" s="145">
        <f>weekday(date(Dashboard!$Q$3,$AG$45,U9),1)</f>
        <v>3</v>
      </c>
      <c r="V8" s="145">
        <f>weekday(date(Dashboard!$Q$3,$AG$45,V9),1)</f>
        <v>4</v>
      </c>
      <c r="W8" s="145">
        <f>weekday(date(Dashboard!$Q$3,$AG$45,W9),1)</f>
        <v>5</v>
      </c>
      <c r="X8" s="146">
        <f>weekday(date(Dashboard!$Q$3,$AG$45,X9),1)</f>
        <v>6</v>
      </c>
      <c r="Y8" s="146">
        <f>weekday(date(Dashboard!$Q$3,$AG$45,Y9),1)</f>
        <v>7</v>
      </c>
      <c r="Z8" s="146">
        <f>weekday(date(Dashboard!$Q$3,$AG$45,Z9),1)</f>
        <v>1</v>
      </c>
      <c r="AA8" s="146">
        <f>weekday(date(Dashboard!$Q$3,$AG$45,AA9),1)</f>
        <v>2</v>
      </c>
      <c r="AB8" s="146">
        <f>weekday(date(Dashboard!$Q$3,$AG$45,AB9),1)</f>
        <v>3</v>
      </c>
      <c r="AC8" s="146">
        <f>weekday(date(Dashboard!$Q$3,$AG$45,AC9),1)</f>
        <v>4</v>
      </c>
      <c r="AD8" s="146">
        <f>weekday(date(Dashboard!$Q$3,$AG$45,AD9),1)</f>
        <v>5</v>
      </c>
      <c r="AE8" s="147">
        <f>weekday(date(Dashboard!$Q$3,$AG$45,AE9),1)</f>
        <v>6</v>
      </c>
      <c r="AF8" s="147">
        <f>weekday(date(Dashboard!$Q$3,$AG$45,AF9),1)</f>
        <v>7</v>
      </c>
      <c r="AG8" s="148">
        <f>weekday(date(Dashboard!$Q$3,$AG$45,AG9),1)</f>
        <v>1</v>
      </c>
      <c r="AH8" s="149"/>
      <c r="AI8" s="43"/>
      <c r="AJ8" s="44"/>
      <c r="AK8" s="43"/>
      <c r="AL8" s="37"/>
      <c r="AM8" s="44"/>
      <c r="AN8" s="149"/>
    </row>
    <row r="9" ht="17.25" customHeight="1">
      <c r="A9" s="121"/>
      <c r="B9" s="150">
        <f>TODAY()</f>
        <v>46025</v>
      </c>
      <c r="C9" s="151">
        <v>1.0</v>
      </c>
      <c r="D9" s="151">
        <v>2.0</v>
      </c>
      <c r="E9" s="151">
        <v>3.0</v>
      </c>
      <c r="F9" s="151">
        <v>4.0</v>
      </c>
      <c r="G9" s="151">
        <v>5.0</v>
      </c>
      <c r="H9" s="151">
        <v>6.0</v>
      </c>
      <c r="I9" s="151">
        <v>7.0</v>
      </c>
      <c r="J9" s="152">
        <v>8.0</v>
      </c>
      <c r="K9" s="152">
        <v>9.0</v>
      </c>
      <c r="L9" s="152">
        <v>10.0</v>
      </c>
      <c r="M9" s="152">
        <v>11.0</v>
      </c>
      <c r="N9" s="152">
        <v>12.0</v>
      </c>
      <c r="O9" s="152">
        <v>13.0</v>
      </c>
      <c r="P9" s="152">
        <v>14.0</v>
      </c>
      <c r="Q9" s="153">
        <v>15.0</v>
      </c>
      <c r="R9" s="153">
        <v>16.0</v>
      </c>
      <c r="S9" s="153">
        <v>17.0</v>
      </c>
      <c r="T9" s="153">
        <v>18.0</v>
      </c>
      <c r="U9" s="153">
        <v>19.0</v>
      </c>
      <c r="V9" s="153">
        <v>20.0</v>
      </c>
      <c r="W9" s="153">
        <v>21.0</v>
      </c>
      <c r="X9" s="154">
        <v>22.0</v>
      </c>
      <c r="Y9" s="154">
        <v>23.0</v>
      </c>
      <c r="Z9" s="154">
        <v>24.0</v>
      </c>
      <c r="AA9" s="154">
        <v>25.0</v>
      </c>
      <c r="AB9" s="154">
        <v>26.0</v>
      </c>
      <c r="AC9" s="154">
        <v>27.0</v>
      </c>
      <c r="AD9" s="154">
        <v>28.0</v>
      </c>
      <c r="AE9" s="155">
        <v>29.0</v>
      </c>
      <c r="AF9" s="155">
        <v>30.0</v>
      </c>
      <c r="AG9" s="155">
        <v>31.0</v>
      </c>
      <c r="AH9" s="149"/>
      <c r="AI9" s="156" t="s">
        <v>14</v>
      </c>
      <c r="AJ9" s="156" t="s">
        <v>50</v>
      </c>
      <c r="AK9" s="157"/>
      <c r="AL9" s="158"/>
      <c r="AM9" s="159"/>
      <c r="AN9" s="149"/>
    </row>
    <row r="10" ht="17.25" customHeight="1">
      <c r="A10" s="121"/>
      <c r="B10" s="160"/>
      <c r="C10" s="161" t="b">
        <v>0</v>
      </c>
      <c r="D10" s="162" t="b">
        <v>0</v>
      </c>
      <c r="E10" s="162" t="b">
        <v>0</v>
      </c>
      <c r="F10" s="162" t="b">
        <v>0</v>
      </c>
      <c r="G10" s="162" t="b">
        <v>0</v>
      </c>
      <c r="H10" s="162" t="b">
        <v>0</v>
      </c>
      <c r="I10" s="162" t="b">
        <v>0</v>
      </c>
      <c r="J10" s="163" t="b">
        <v>0</v>
      </c>
      <c r="K10" s="163" t="b">
        <v>0</v>
      </c>
      <c r="L10" s="163" t="b">
        <v>0</v>
      </c>
      <c r="M10" s="163" t="b">
        <v>0</v>
      </c>
      <c r="N10" s="163" t="b">
        <v>0</v>
      </c>
      <c r="O10" s="163" t="b">
        <v>0</v>
      </c>
      <c r="P10" s="163" t="b">
        <v>0</v>
      </c>
      <c r="Q10" s="164" t="b">
        <v>0</v>
      </c>
      <c r="R10" s="164" t="b">
        <v>0</v>
      </c>
      <c r="S10" s="164" t="b">
        <v>0</v>
      </c>
      <c r="T10" s="164" t="b">
        <v>0</v>
      </c>
      <c r="U10" s="164" t="b">
        <v>0</v>
      </c>
      <c r="V10" s="164" t="b">
        <v>0</v>
      </c>
      <c r="W10" s="164" t="b">
        <v>0</v>
      </c>
      <c r="X10" s="165" t="b">
        <v>0</v>
      </c>
      <c r="Y10" s="165" t="b">
        <v>0</v>
      </c>
      <c r="Z10" s="165" t="b">
        <v>0</v>
      </c>
      <c r="AA10" s="165" t="b">
        <v>0</v>
      </c>
      <c r="AB10" s="165" t="b">
        <v>0</v>
      </c>
      <c r="AC10" s="165" t="b">
        <v>0</v>
      </c>
      <c r="AD10" s="165" t="b">
        <v>0</v>
      </c>
      <c r="AE10" s="166" t="b">
        <v>0</v>
      </c>
      <c r="AF10" s="166" t="b">
        <v>0</v>
      </c>
      <c r="AG10" s="166" t="b">
        <v>0</v>
      </c>
      <c r="AH10" s="149"/>
      <c r="AI10" s="167"/>
      <c r="AJ10" s="168">
        <f t="array" ref="AJ10:AJ21">MMULT(N($C$10:$AG$21), TRANSPOSE(COLUMN($C$10:$AG$21)^0))
</f>
        <v>0</v>
      </c>
      <c r="AK10" s="169" t="str">
        <f>IFERROR(__xludf.DUMMYFUNCTION("iferror(SPARKLINE(AJ10/AI10,{""charttype"",""bar"";""max"",1;""color1"",""#c9e4b2""}))"),"")</f>
        <v/>
      </c>
      <c r="AL10" s="46"/>
      <c r="AM10" s="47"/>
      <c r="AN10" s="170"/>
    </row>
    <row r="11" ht="17.25" customHeight="1">
      <c r="A11" s="121"/>
      <c r="B11" s="160"/>
      <c r="C11" s="161" t="b">
        <v>0</v>
      </c>
      <c r="D11" s="162" t="b">
        <v>0</v>
      </c>
      <c r="E11" s="162" t="b">
        <v>0</v>
      </c>
      <c r="F11" s="162" t="b">
        <v>0</v>
      </c>
      <c r="G11" s="162" t="b">
        <v>0</v>
      </c>
      <c r="H11" s="162" t="b">
        <v>0</v>
      </c>
      <c r="I11" s="162" t="b">
        <v>0</v>
      </c>
      <c r="J11" s="163" t="b">
        <v>0</v>
      </c>
      <c r="K11" s="163" t="b">
        <v>0</v>
      </c>
      <c r="L11" s="163" t="b">
        <v>0</v>
      </c>
      <c r="M11" s="163" t="b">
        <v>0</v>
      </c>
      <c r="N11" s="163" t="b">
        <v>0</v>
      </c>
      <c r="O11" s="163" t="b">
        <v>0</v>
      </c>
      <c r="P11" s="163" t="b">
        <v>0</v>
      </c>
      <c r="Q11" s="164" t="b">
        <v>0</v>
      </c>
      <c r="R11" s="164" t="b">
        <v>0</v>
      </c>
      <c r="S11" s="164" t="b">
        <v>0</v>
      </c>
      <c r="T11" s="164" t="b">
        <v>0</v>
      </c>
      <c r="U11" s="164" t="b">
        <v>0</v>
      </c>
      <c r="V11" s="164" t="b">
        <v>0</v>
      </c>
      <c r="W11" s="164" t="b">
        <v>0</v>
      </c>
      <c r="X11" s="165" t="b">
        <v>0</v>
      </c>
      <c r="Y11" s="165" t="b">
        <v>0</v>
      </c>
      <c r="Z11" s="165" t="b">
        <v>0</v>
      </c>
      <c r="AA11" s="165" t="b">
        <v>0</v>
      </c>
      <c r="AB11" s="165" t="b">
        <v>0</v>
      </c>
      <c r="AC11" s="165" t="b">
        <v>0</v>
      </c>
      <c r="AD11" s="165" t="b">
        <v>0</v>
      </c>
      <c r="AE11" s="166" t="b">
        <v>0</v>
      </c>
      <c r="AF11" s="166" t="b">
        <v>0</v>
      </c>
      <c r="AG11" s="166" t="b">
        <v>0</v>
      </c>
      <c r="AH11" s="149"/>
      <c r="AI11" s="167"/>
      <c r="AJ11" s="160">
        <v>0.0</v>
      </c>
      <c r="AK11" s="169" t="str">
        <f>IFERROR(__xludf.DUMMYFUNCTION("iferror(SPARKLINE(AJ11/AI11,{""charttype"",""bar"";""max"",1;""color1"",""#c9e4b2""}))"),"")</f>
        <v/>
      </c>
      <c r="AL11" s="46"/>
      <c r="AM11" s="47"/>
      <c r="AN11" s="170"/>
    </row>
    <row r="12" ht="17.25" customHeight="1">
      <c r="A12" s="121"/>
      <c r="B12" s="160"/>
      <c r="C12" s="161" t="b">
        <v>0</v>
      </c>
      <c r="D12" s="162" t="b">
        <v>0</v>
      </c>
      <c r="E12" s="162" t="b">
        <v>0</v>
      </c>
      <c r="F12" s="162" t="b">
        <v>0</v>
      </c>
      <c r="G12" s="162" t="b">
        <v>0</v>
      </c>
      <c r="H12" s="162" t="b">
        <v>0</v>
      </c>
      <c r="I12" s="162" t="b">
        <v>0</v>
      </c>
      <c r="J12" s="163" t="b">
        <v>0</v>
      </c>
      <c r="K12" s="163" t="b">
        <v>0</v>
      </c>
      <c r="L12" s="163" t="b">
        <v>0</v>
      </c>
      <c r="M12" s="163" t="b">
        <v>0</v>
      </c>
      <c r="N12" s="163" t="b">
        <v>0</v>
      </c>
      <c r="O12" s="163" t="b">
        <v>0</v>
      </c>
      <c r="P12" s="163" t="b">
        <v>0</v>
      </c>
      <c r="Q12" s="164" t="b">
        <v>0</v>
      </c>
      <c r="R12" s="164" t="b">
        <v>0</v>
      </c>
      <c r="S12" s="164" t="b">
        <v>0</v>
      </c>
      <c r="T12" s="164" t="b">
        <v>0</v>
      </c>
      <c r="U12" s="164" t="b">
        <v>0</v>
      </c>
      <c r="V12" s="164" t="b">
        <v>0</v>
      </c>
      <c r="W12" s="164" t="b">
        <v>0</v>
      </c>
      <c r="X12" s="165" t="b">
        <v>0</v>
      </c>
      <c r="Y12" s="165" t="b">
        <v>0</v>
      </c>
      <c r="Z12" s="165" t="b">
        <v>0</v>
      </c>
      <c r="AA12" s="165" t="b">
        <v>0</v>
      </c>
      <c r="AB12" s="165" t="b">
        <v>0</v>
      </c>
      <c r="AC12" s="165" t="b">
        <v>0</v>
      </c>
      <c r="AD12" s="165" t="b">
        <v>0</v>
      </c>
      <c r="AE12" s="166" t="b">
        <v>0</v>
      </c>
      <c r="AF12" s="166" t="b">
        <v>0</v>
      </c>
      <c r="AG12" s="166" t="b">
        <v>0</v>
      </c>
      <c r="AH12" s="149"/>
      <c r="AI12" s="167"/>
      <c r="AJ12" s="160">
        <v>0.0</v>
      </c>
      <c r="AK12" s="169" t="str">
        <f>IFERROR(__xludf.DUMMYFUNCTION("iferror(SPARKLINE(AJ12/AI12,{""charttype"",""bar"";""max"",1;""color1"",""#c9e4b2""}))"),"")</f>
        <v/>
      </c>
      <c r="AL12" s="46"/>
      <c r="AM12" s="47"/>
      <c r="AN12" s="170"/>
    </row>
    <row r="13" ht="17.25" customHeight="1">
      <c r="A13" s="121"/>
      <c r="B13" s="160"/>
      <c r="C13" s="161" t="b">
        <v>0</v>
      </c>
      <c r="D13" s="162" t="b">
        <v>0</v>
      </c>
      <c r="E13" s="162" t="b">
        <v>0</v>
      </c>
      <c r="F13" s="162" t="b">
        <v>0</v>
      </c>
      <c r="G13" s="162" t="b">
        <v>0</v>
      </c>
      <c r="H13" s="162" t="b">
        <v>0</v>
      </c>
      <c r="I13" s="162" t="b">
        <v>0</v>
      </c>
      <c r="J13" s="163" t="b">
        <v>0</v>
      </c>
      <c r="K13" s="163" t="b">
        <v>0</v>
      </c>
      <c r="L13" s="163" t="b">
        <v>0</v>
      </c>
      <c r="M13" s="163" t="b">
        <v>0</v>
      </c>
      <c r="N13" s="163" t="b">
        <v>0</v>
      </c>
      <c r="O13" s="163" t="b">
        <v>0</v>
      </c>
      <c r="P13" s="163" t="b">
        <v>0</v>
      </c>
      <c r="Q13" s="164" t="b">
        <v>0</v>
      </c>
      <c r="R13" s="164" t="b">
        <v>0</v>
      </c>
      <c r="S13" s="164" t="b">
        <v>0</v>
      </c>
      <c r="T13" s="164" t="b">
        <v>0</v>
      </c>
      <c r="U13" s="164" t="b">
        <v>0</v>
      </c>
      <c r="V13" s="164" t="b">
        <v>0</v>
      </c>
      <c r="W13" s="164" t="b">
        <v>0</v>
      </c>
      <c r="X13" s="165" t="b">
        <v>0</v>
      </c>
      <c r="Y13" s="165" t="b">
        <v>0</v>
      </c>
      <c r="Z13" s="165" t="b">
        <v>0</v>
      </c>
      <c r="AA13" s="165" t="b">
        <v>0</v>
      </c>
      <c r="AB13" s="165" t="b">
        <v>0</v>
      </c>
      <c r="AC13" s="165" t="b">
        <v>0</v>
      </c>
      <c r="AD13" s="165" t="b">
        <v>0</v>
      </c>
      <c r="AE13" s="166" t="b">
        <v>0</v>
      </c>
      <c r="AF13" s="166" t="b">
        <v>0</v>
      </c>
      <c r="AG13" s="166" t="b">
        <v>0</v>
      </c>
      <c r="AH13" s="149"/>
      <c r="AI13" s="167"/>
      <c r="AJ13" s="160">
        <v>0.0</v>
      </c>
      <c r="AK13" s="169" t="str">
        <f>IFERROR(__xludf.DUMMYFUNCTION("iferror(SPARKLINE(AJ13/AI13,{""charttype"",""bar"";""max"",1;""color1"",""#c9e4b2""}))"),"")</f>
        <v/>
      </c>
      <c r="AL13" s="46"/>
      <c r="AM13" s="47"/>
      <c r="AN13" s="170"/>
    </row>
    <row r="14" ht="17.25" customHeight="1">
      <c r="A14" s="121"/>
      <c r="B14" s="160"/>
      <c r="C14" s="161" t="b">
        <v>0</v>
      </c>
      <c r="D14" s="162" t="b">
        <v>0</v>
      </c>
      <c r="E14" s="162" t="b">
        <v>0</v>
      </c>
      <c r="F14" s="162" t="b">
        <v>0</v>
      </c>
      <c r="G14" s="162" t="b">
        <v>0</v>
      </c>
      <c r="H14" s="162" t="b">
        <v>0</v>
      </c>
      <c r="I14" s="162" t="b">
        <v>0</v>
      </c>
      <c r="J14" s="163" t="b">
        <v>0</v>
      </c>
      <c r="K14" s="163" t="b">
        <v>0</v>
      </c>
      <c r="L14" s="163" t="b">
        <v>0</v>
      </c>
      <c r="M14" s="163" t="b">
        <v>0</v>
      </c>
      <c r="N14" s="163" t="b">
        <v>0</v>
      </c>
      <c r="O14" s="163" t="b">
        <v>0</v>
      </c>
      <c r="P14" s="163" t="b">
        <v>0</v>
      </c>
      <c r="Q14" s="164" t="b">
        <v>0</v>
      </c>
      <c r="R14" s="164" t="b">
        <v>0</v>
      </c>
      <c r="S14" s="164" t="b">
        <v>0</v>
      </c>
      <c r="T14" s="164" t="b">
        <v>0</v>
      </c>
      <c r="U14" s="164" t="b">
        <v>0</v>
      </c>
      <c r="V14" s="164" t="b">
        <v>0</v>
      </c>
      <c r="W14" s="164" t="b">
        <v>0</v>
      </c>
      <c r="X14" s="165" t="b">
        <v>0</v>
      </c>
      <c r="Y14" s="165" t="b">
        <v>0</v>
      </c>
      <c r="Z14" s="165" t="b">
        <v>0</v>
      </c>
      <c r="AA14" s="165" t="b">
        <v>0</v>
      </c>
      <c r="AB14" s="165" t="b">
        <v>0</v>
      </c>
      <c r="AC14" s="165" t="b">
        <v>0</v>
      </c>
      <c r="AD14" s="165" t="b">
        <v>0</v>
      </c>
      <c r="AE14" s="166" t="b">
        <v>0</v>
      </c>
      <c r="AF14" s="166" t="b">
        <v>0</v>
      </c>
      <c r="AG14" s="166" t="b">
        <v>0</v>
      </c>
      <c r="AH14" s="149"/>
      <c r="AI14" s="167"/>
      <c r="AJ14" s="160">
        <v>0.0</v>
      </c>
      <c r="AK14" s="169" t="str">
        <f>IFERROR(__xludf.DUMMYFUNCTION("iferror(SPARKLINE(AJ14/AI14,{""charttype"",""bar"";""max"",1;""color1"",""#c9e4b2""}))"),"")</f>
        <v/>
      </c>
      <c r="AL14" s="46"/>
      <c r="AM14" s="47"/>
      <c r="AN14" s="170"/>
    </row>
    <row r="15" ht="17.25" customHeight="1">
      <c r="A15" s="121"/>
      <c r="B15" s="160"/>
      <c r="C15" s="161" t="b">
        <v>0</v>
      </c>
      <c r="D15" s="162" t="b">
        <v>0</v>
      </c>
      <c r="E15" s="162" t="b">
        <v>0</v>
      </c>
      <c r="F15" s="162" t="b">
        <v>0</v>
      </c>
      <c r="G15" s="162" t="b">
        <v>0</v>
      </c>
      <c r="H15" s="162" t="b">
        <v>0</v>
      </c>
      <c r="I15" s="162" t="b">
        <v>0</v>
      </c>
      <c r="J15" s="163" t="b">
        <v>0</v>
      </c>
      <c r="K15" s="163" t="b">
        <v>0</v>
      </c>
      <c r="L15" s="163" t="b">
        <v>0</v>
      </c>
      <c r="M15" s="163" t="b">
        <v>0</v>
      </c>
      <c r="N15" s="163" t="b">
        <v>0</v>
      </c>
      <c r="O15" s="163" t="b">
        <v>0</v>
      </c>
      <c r="P15" s="163" t="b">
        <v>0</v>
      </c>
      <c r="Q15" s="164" t="b">
        <v>0</v>
      </c>
      <c r="R15" s="164" t="b">
        <v>0</v>
      </c>
      <c r="S15" s="164" t="b">
        <v>0</v>
      </c>
      <c r="T15" s="164" t="b">
        <v>0</v>
      </c>
      <c r="U15" s="164" t="b">
        <v>0</v>
      </c>
      <c r="V15" s="164" t="b">
        <v>0</v>
      </c>
      <c r="W15" s="164" t="b">
        <v>0</v>
      </c>
      <c r="X15" s="165" t="b">
        <v>0</v>
      </c>
      <c r="Y15" s="165" t="b">
        <v>0</v>
      </c>
      <c r="Z15" s="165" t="b">
        <v>0</v>
      </c>
      <c r="AA15" s="165" t="b">
        <v>0</v>
      </c>
      <c r="AB15" s="165" t="b">
        <v>0</v>
      </c>
      <c r="AC15" s="165" t="b">
        <v>0</v>
      </c>
      <c r="AD15" s="165" t="b">
        <v>0</v>
      </c>
      <c r="AE15" s="166" t="b">
        <v>0</v>
      </c>
      <c r="AF15" s="166" t="b">
        <v>0</v>
      </c>
      <c r="AG15" s="166" t="b">
        <v>0</v>
      </c>
      <c r="AH15" s="149"/>
      <c r="AI15" s="167"/>
      <c r="AJ15" s="160">
        <v>0.0</v>
      </c>
      <c r="AK15" s="169" t="str">
        <f>IFERROR(__xludf.DUMMYFUNCTION("iferror(SPARKLINE(AJ15/AI15,{""charttype"",""bar"";""max"",1;""color1"",""#c9e4b2""}))"),"")</f>
        <v/>
      </c>
      <c r="AL15" s="46"/>
      <c r="AM15" s="47"/>
      <c r="AN15" s="170"/>
    </row>
    <row r="16" ht="17.25" customHeight="1">
      <c r="A16" s="121"/>
      <c r="B16" s="160"/>
      <c r="C16" s="161" t="b">
        <v>0</v>
      </c>
      <c r="D16" s="162" t="b">
        <v>0</v>
      </c>
      <c r="E16" s="162" t="b">
        <v>0</v>
      </c>
      <c r="F16" s="162" t="b">
        <v>0</v>
      </c>
      <c r="G16" s="162" t="b">
        <v>0</v>
      </c>
      <c r="H16" s="162" t="b">
        <v>0</v>
      </c>
      <c r="I16" s="162" t="b">
        <v>0</v>
      </c>
      <c r="J16" s="163" t="b">
        <v>0</v>
      </c>
      <c r="K16" s="163" t="b">
        <v>0</v>
      </c>
      <c r="L16" s="163" t="b">
        <v>0</v>
      </c>
      <c r="M16" s="163" t="b">
        <v>0</v>
      </c>
      <c r="N16" s="163" t="b">
        <v>0</v>
      </c>
      <c r="O16" s="163" t="b">
        <v>0</v>
      </c>
      <c r="P16" s="163" t="b">
        <v>0</v>
      </c>
      <c r="Q16" s="164" t="b">
        <v>0</v>
      </c>
      <c r="R16" s="164" t="b">
        <v>0</v>
      </c>
      <c r="S16" s="164" t="b">
        <v>0</v>
      </c>
      <c r="T16" s="164" t="b">
        <v>0</v>
      </c>
      <c r="U16" s="164" t="b">
        <v>0</v>
      </c>
      <c r="V16" s="164" t="b">
        <v>0</v>
      </c>
      <c r="W16" s="164" t="b">
        <v>0</v>
      </c>
      <c r="X16" s="165" t="b">
        <v>0</v>
      </c>
      <c r="Y16" s="165" t="b">
        <v>0</v>
      </c>
      <c r="Z16" s="165" t="b">
        <v>0</v>
      </c>
      <c r="AA16" s="165" t="b">
        <v>0</v>
      </c>
      <c r="AB16" s="165" t="b">
        <v>0</v>
      </c>
      <c r="AC16" s="165" t="b">
        <v>0</v>
      </c>
      <c r="AD16" s="165" t="b">
        <v>0</v>
      </c>
      <c r="AE16" s="166" t="b">
        <v>0</v>
      </c>
      <c r="AF16" s="166" t="b">
        <v>0</v>
      </c>
      <c r="AG16" s="166" t="b">
        <v>0</v>
      </c>
      <c r="AH16" s="149"/>
      <c r="AI16" s="167"/>
      <c r="AJ16" s="160">
        <v>0.0</v>
      </c>
      <c r="AK16" s="169" t="str">
        <f>IFERROR(__xludf.DUMMYFUNCTION("iferror(SPARKLINE(AJ16/AI16,{""charttype"",""bar"";""max"",1;""color1"",""#c9e4b2""}))"),"")</f>
        <v/>
      </c>
      <c r="AL16" s="46"/>
      <c r="AM16" s="47"/>
      <c r="AN16" s="170"/>
    </row>
    <row r="17" ht="17.25" customHeight="1">
      <c r="A17" s="121"/>
      <c r="B17" s="160"/>
      <c r="C17" s="161" t="b">
        <v>0</v>
      </c>
      <c r="D17" s="162" t="b">
        <v>0</v>
      </c>
      <c r="E17" s="162" t="b">
        <v>0</v>
      </c>
      <c r="F17" s="162" t="b">
        <v>0</v>
      </c>
      <c r="G17" s="162" t="b">
        <v>0</v>
      </c>
      <c r="H17" s="162" t="b">
        <v>0</v>
      </c>
      <c r="I17" s="162" t="b">
        <v>0</v>
      </c>
      <c r="J17" s="163" t="b">
        <v>0</v>
      </c>
      <c r="K17" s="163" t="b">
        <v>0</v>
      </c>
      <c r="L17" s="163" t="b">
        <v>0</v>
      </c>
      <c r="M17" s="163" t="b">
        <v>0</v>
      </c>
      <c r="N17" s="163" t="b">
        <v>0</v>
      </c>
      <c r="O17" s="163" t="b">
        <v>0</v>
      </c>
      <c r="P17" s="163" t="b">
        <v>0</v>
      </c>
      <c r="Q17" s="164" t="b">
        <v>0</v>
      </c>
      <c r="R17" s="164" t="b">
        <v>0</v>
      </c>
      <c r="S17" s="164" t="b">
        <v>0</v>
      </c>
      <c r="T17" s="164" t="b">
        <v>0</v>
      </c>
      <c r="U17" s="164" t="b">
        <v>0</v>
      </c>
      <c r="V17" s="164" t="b">
        <v>0</v>
      </c>
      <c r="W17" s="164" t="b">
        <v>0</v>
      </c>
      <c r="X17" s="165" t="b">
        <v>0</v>
      </c>
      <c r="Y17" s="165" t="b">
        <v>0</v>
      </c>
      <c r="Z17" s="165" t="b">
        <v>0</v>
      </c>
      <c r="AA17" s="165" t="b">
        <v>0</v>
      </c>
      <c r="AB17" s="165" t="b">
        <v>0</v>
      </c>
      <c r="AC17" s="165" t="b">
        <v>0</v>
      </c>
      <c r="AD17" s="165" t="b">
        <v>0</v>
      </c>
      <c r="AE17" s="166" t="b">
        <v>0</v>
      </c>
      <c r="AF17" s="166" t="b">
        <v>0</v>
      </c>
      <c r="AG17" s="166" t="b">
        <v>0</v>
      </c>
      <c r="AH17" s="149"/>
      <c r="AI17" s="167"/>
      <c r="AJ17" s="160">
        <v>0.0</v>
      </c>
      <c r="AK17" s="169" t="str">
        <f>IFERROR(__xludf.DUMMYFUNCTION("iferror(SPARKLINE(AJ17/AI17,{""charttype"",""bar"";""max"",1;""color1"",""#c9e4b2""}))"),"")</f>
        <v/>
      </c>
      <c r="AL17" s="46"/>
      <c r="AM17" s="47"/>
      <c r="AN17" s="170"/>
    </row>
    <row r="18" ht="17.25" customHeight="1">
      <c r="A18" s="121"/>
      <c r="B18" s="160"/>
      <c r="C18" s="161" t="b">
        <v>0</v>
      </c>
      <c r="D18" s="162" t="b">
        <v>0</v>
      </c>
      <c r="E18" s="162" t="b">
        <v>0</v>
      </c>
      <c r="F18" s="162" t="b">
        <v>0</v>
      </c>
      <c r="G18" s="162" t="b">
        <v>0</v>
      </c>
      <c r="H18" s="162" t="b">
        <v>0</v>
      </c>
      <c r="I18" s="162" t="b">
        <v>0</v>
      </c>
      <c r="J18" s="163" t="b">
        <v>0</v>
      </c>
      <c r="K18" s="163" t="b">
        <v>0</v>
      </c>
      <c r="L18" s="163" t="b">
        <v>0</v>
      </c>
      <c r="M18" s="163" t="b">
        <v>0</v>
      </c>
      <c r="N18" s="163" t="b">
        <v>0</v>
      </c>
      <c r="O18" s="163" t="b">
        <v>0</v>
      </c>
      <c r="P18" s="163" t="b">
        <v>0</v>
      </c>
      <c r="Q18" s="164" t="b">
        <v>0</v>
      </c>
      <c r="R18" s="164" t="b">
        <v>0</v>
      </c>
      <c r="S18" s="164" t="b">
        <v>0</v>
      </c>
      <c r="T18" s="164" t="b">
        <v>0</v>
      </c>
      <c r="U18" s="164" t="b">
        <v>0</v>
      </c>
      <c r="V18" s="164" t="b">
        <v>0</v>
      </c>
      <c r="W18" s="164" t="b">
        <v>0</v>
      </c>
      <c r="X18" s="165" t="b">
        <v>0</v>
      </c>
      <c r="Y18" s="165" t="b">
        <v>0</v>
      </c>
      <c r="Z18" s="165" t="b">
        <v>0</v>
      </c>
      <c r="AA18" s="165" t="b">
        <v>0</v>
      </c>
      <c r="AB18" s="165" t="b">
        <v>0</v>
      </c>
      <c r="AC18" s="165" t="b">
        <v>0</v>
      </c>
      <c r="AD18" s="165" t="b">
        <v>0</v>
      </c>
      <c r="AE18" s="166" t="b">
        <v>0</v>
      </c>
      <c r="AF18" s="166" t="b">
        <v>0</v>
      </c>
      <c r="AG18" s="166" t="b">
        <v>0</v>
      </c>
      <c r="AH18" s="149"/>
      <c r="AI18" s="167"/>
      <c r="AJ18" s="160">
        <v>0.0</v>
      </c>
      <c r="AK18" s="169" t="str">
        <f>IFERROR(__xludf.DUMMYFUNCTION("iferror(SPARKLINE(AJ18/AI18,{""charttype"",""bar"";""max"",1;""color1"",""#c9e4b2""}))"),"")</f>
        <v/>
      </c>
      <c r="AL18" s="46"/>
      <c r="AM18" s="47"/>
      <c r="AN18" s="170"/>
    </row>
    <row r="19" ht="17.25" customHeight="1">
      <c r="A19" s="121"/>
      <c r="B19" s="160"/>
      <c r="C19" s="161" t="b">
        <v>0</v>
      </c>
      <c r="D19" s="162" t="b">
        <v>0</v>
      </c>
      <c r="E19" s="162" t="b">
        <v>0</v>
      </c>
      <c r="F19" s="162" t="b">
        <v>0</v>
      </c>
      <c r="G19" s="162" t="b">
        <v>0</v>
      </c>
      <c r="H19" s="162" t="b">
        <v>0</v>
      </c>
      <c r="I19" s="162" t="b">
        <v>0</v>
      </c>
      <c r="J19" s="163" t="b">
        <v>0</v>
      </c>
      <c r="K19" s="163" t="b">
        <v>0</v>
      </c>
      <c r="L19" s="163" t="b">
        <v>0</v>
      </c>
      <c r="M19" s="163" t="b">
        <v>0</v>
      </c>
      <c r="N19" s="163" t="b">
        <v>0</v>
      </c>
      <c r="O19" s="163" t="b">
        <v>0</v>
      </c>
      <c r="P19" s="163" t="b">
        <v>0</v>
      </c>
      <c r="Q19" s="164" t="b">
        <v>0</v>
      </c>
      <c r="R19" s="164" t="b">
        <v>0</v>
      </c>
      <c r="S19" s="164" t="b">
        <v>0</v>
      </c>
      <c r="T19" s="164" t="b">
        <v>0</v>
      </c>
      <c r="U19" s="164" t="b">
        <v>0</v>
      </c>
      <c r="V19" s="164" t="b">
        <v>0</v>
      </c>
      <c r="W19" s="164" t="b">
        <v>0</v>
      </c>
      <c r="X19" s="165" t="b">
        <v>0</v>
      </c>
      <c r="Y19" s="165" t="b">
        <v>0</v>
      </c>
      <c r="Z19" s="165" t="b">
        <v>0</v>
      </c>
      <c r="AA19" s="165" t="b">
        <v>0</v>
      </c>
      <c r="AB19" s="165" t="b">
        <v>0</v>
      </c>
      <c r="AC19" s="165" t="b">
        <v>0</v>
      </c>
      <c r="AD19" s="165" t="b">
        <v>0</v>
      </c>
      <c r="AE19" s="166" t="b">
        <v>0</v>
      </c>
      <c r="AF19" s="166" t="b">
        <v>0</v>
      </c>
      <c r="AG19" s="166" t="b">
        <v>0</v>
      </c>
      <c r="AH19" s="149"/>
      <c r="AI19" s="167"/>
      <c r="AJ19" s="160">
        <v>0.0</v>
      </c>
      <c r="AK19" s="169" t="str">
        <f>IFERROR(__xludf.DUMMYFUNCTION("iferror(SPARKLINE(AJ19/AI19,{""charttype"",""bar"";""max"",1;""color1"",""#c9e4b2""}))"),"")</f>
        <v/>
      </c>
      <c r="AL19" s="46"/>
      <c r="AM19" s="47"/>
      <c r="AN19" s="170"/>
    </row>
    <row r="20" ht="17.25" customHeight="1">
      <c r="A20" s="121"/>
      <c r="B20" s="160"/>
      <c r="C20" s="161" t="b">
        <v>0</v>
      </c>
      <c r="D20" s="162" t="b">
        <v>0</v>
      </c>
      <c r="E20" s="162" t="b">
        <v>0</v>
      </c>
      <c r="F20" s="162" t="b">
        <v>0</v>
      </c>
      <c r="G20" s="162" t="b">
        <v>0</v>
      </c>
      <c r="H20" s="162" t="b">
        <v>0</v>
      </c>
      <c r="I20" s="162" t="b">
        <v>0</v>
      </c>
      <c r="J20" s="163" t="b">
        <v>0</v>
      </c>
      <c r="K20" s="163" t="b">
        <v>0</v>
      </c>
      <c r="L20" s="163" t="b">
        <v>0</v>
      </c>
      <c r="M20" s="163" t="b">
        <v>0</v>
      </c>
      <c r="N20" s="163" t="b">
        <v>0</v>
      </c>
      <c r="O20" s="163" t="b">
        <v>0</v>
      </c>
      <c r="P20" s="163" t="b">
        <v>0</v>
      </c>
      <c r="Q20" s="164" t="b">
        <v>0</v>
      </c>
      <c r="R20" s="164" t="b">
        <v>0</v>
      </c>
      <c r="S20" s="164" t="b">
        <v>0</v>
      </c>
      <c r="T20" s="164" t="b">
        <v>0</v>
      </c>
      <c r="U20" s="164" t="b">
        <v>0</v>
      </c>
      <c r="V20" s="164" t="b">
        <v>0</v>
      </c>
      <c r="W20" s="164" t="b">
        <v>0</v>
      </c>
      <c r="X20" s="165" t="b">
        <v>0</v>
      </c>
      <c r="Y20" s="165" t="b">
        <v>0</v>
      </c>
      <c r="Z20" s="165" t="b">
        <v>0</v>
      </c>
      <c r="AA20" s="165" t="b">
        <v>0</v>
      </c>
      <c r="AB20" s="165" t="b">
        <v>0</v>
      </c>
      <c r="AC20" s="165" t="b">
        <v>0</v>
      </c>
      <c r="AD20" s="165" t="b">
        <v>0</v>
      </c>
      <c r="AE20" s="166" t="b">
        <v>0</v>
      </c>
      <c r="AF20" s="166" t="b">
        <v>0</v>
      </c>
      <c r="AG20" s="166" t="b">
        <v>0</v>
      </c>
      <c r="AH20" s="149"/>
      <c r="AI20" s="167"/>
      <c r="AJ20" s="160">
        <v>0.0</v>
      </c>
      <c r="AK20" s="169" t="str">
        <f>IFERROR(__xludf.DUMMYFUNCTION("iferror(SPARKLINE(AJ20/AI20,{""charttype"",""bar"";""max"",1;""color1"",""#c9e4b2""}))"),"")</f>
        <v/>
      </c>
      <c r="AL20" s="46"/>
      <c r="AM20" s="47"/>
      <c r="AN20" s="170"/>
    </row>
    <row r="21" ht="17.25" customHeight="1">
      <c r="A21" s="121"/>
      <c r="B21" s="160"/>
      <c r="C21" s="171" t="b">
        <v>0</v>
      </c>
      <c r="D21" s="172" t="b">
        <v>0</v>
      </c>
      <c r="E21" s="172" t="b">
        <v>0</v>
      </c>
      <c r="F21" s="172" t="b">
        <v>0</v>
      </c>
      <c r="G21" s="172" t="b">
        <v>0</v>
      </c>
      <c r="H21" s="172" t="b">
        <v>0</v>
      </c>
      <c r="I21" s="172" t="b">
        <v>0</v>
      </c>
      <c r="J21" s="173" t="b">
        <v>0</v>
      </c>
      <c r="K21" s="173" t="b">
        <v>0</v>
      </c>
      <c r="L21" s="173" t="b">
        <v>0</v>
      </c>
      <c r="M21" s="173" t="b">
        <v>0</v>
      </c>
      <c r="N21" s="173" t="b">
        <v>0</v>
      </c>
      <c r="O21" s="173" t="b">
        <v>0</v>
      </c>
      <c r="P21" s="173" t="b">
        <v>0</v>
      </c>
      <c r="Q21" s="174" t="b">
        <v>0</v>
      </c>
      <c r="R21" s="174" t="b">
        <v>0</v>
      </c>
      <c r="S21" s="174" t="b">
        <v>0</v>
      </c>
      <c r="T21" s="174" t="b">
        <v>0</v>
      </c>
      <c r="U21" s="174" t="b">
        <v>0</v>
      </c>
      <c r="V21" s="174" t="b">
        <v>0</v>
      </c>
      <c r="W21" s="174" t="b">
        <v>0</v>
      </c>
      <c r="X21" s="175" t="b">
        <v>0</v>
      </c>
      <c r="Y21" s="175" t="b">
        <v>0</v>
      </c>
      <c r="Z21" s="175" t="b">
        <v>0</v>
      </c>
      <c r="AA21" s="175" t="b">
        <v>0</v>
      </c>
      <c r="AB21" s="175" t="b">
        <v>0</v>
      </c>
      <c r="AC21" s="175" t="b">
        <v>0</v>
      </c>
      <c r="AD21" s="175" t="b">
        <v>0</v>
      </c>
      <c r="AE21" s="176" t="b">
        <v>0</v>
      </c>
      <c r="AF21" s="176" t="b">
        <v>0</v>
      </c>
      <c r="AG21" s="176" t="b">
        <v>0</v>
      </c>
      <c r="AH21" s="149"/>
      <c r="AI21" s="167"/>
      <c r="AJ21" s="160">
        <v>0.0</v>
      </c>
      <c r="AK21" s="169" t="str">
        <f>IFERROR(__xludf.DUMMYFUNCTION("iferror(SPARKLINE(AJ21/AI21,{""charttype"",""bar"";""max"",1;""color1"",""#c9e4b2""}))"),"")</f>
        <v/>
      </c>
      <c r="AL21" s="46"/>
      <c r="AM21" s="47"/>
      <c r="AN21" s="170"/>
    </row>
    <row r="22" ht="17.25" customHeight="1">
      <c r="A22" s="121"/>
      <c r="B22" s="121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49"/>
      <c r="AK22" s="149"/>
      <c r="AL22" s="149"/>
      <c r="AM22" s="149"/>
      <c r="AN22" s="149"/>
    </row>
    <row r="23" ht="17.25" customHeight="1">
      <c r="A23" s="121"/>
      <c r="B23" s="219" t="s">
        <v>26</v>
      </c>
      <c r="C23" s="178">
        <f t="shared" ref="C23:AG23" si="1">COUNTIF(C10:C21, TRUE)/COUNTA(C10:C21)</f>
        <v>0</v>
      </c>
      <c r="D23" s="178">
        <f t="shared" si="1"/>
        <v>0</v>
      </c>
      <c r="E23" s="178">
        <f t="shared" si="1"/>
        <v>0</v>
      </c>
      <c r="F23" s="178">
        <f t="shared" si="1"/>
        <v>0</v>
      </c>
      <c r="G23" s="178">
        <f t="shared" si="1"/>
        <v>0</v>
      </c>
      <c r="H23" s="178">
        <f t="shared" si="1"/>
        <v>0</v>
      </c>
      <c r="I23" s="178">
        <f t="shared" si="1"/>
        <v>0</v>
      </c>
      <c r="J23" s="178">
        <f t="shared" si="1"/>
        <v>0</v>
      </c>
      <c r="K23" s="178">
        <f t="shared" si="1"/>
        <v>0</v>
      </c>
      <c r="L23" s="178">
        <f t="shared" si="1"/>
        <v>0</v>
      </c>
      <c r="M23" s="178">
        <f t="shared" si="1"/>
        <v>0</v>
      </c>
      <c r="N23" s="178">
        <f t="shared" si="1"/>
        <v>0</v>
      </c>
      <c r="O23" s="178">
        <f t="shared" si="1"/>
        <v>0</v>
      </c>
      <c r="P23" s="178">
        <f t="shared" si="1"/>
        <v>0</v>
      </c>
      <c r="Q23" s="178">
        <f t="shared" si="1"/>
        <v>0</v>
      </c>
      <c r="R23" s="178">
        <f t="shared" si="1"/>
        <v>0</v>
      </c>
      <c r="S23" s="178">
        <f t="shared" si="1"/>
        <v>0</v>
      </c>
      <c r="T23" s="178">
        <f t="shared" si="1"/>
        <v>0</v>
      </c>
      <c r="U23" s="178">
        <f t="shared" si="1"/>
        <v>0</v>
      </c>
      <c r="V23" s="178">
        <f t="shared" si="1"/>
        <v>0</v>
      </c>
      <c r="W23" s="178">
        <f t="shared" si="1"/>
        <v>0</v>
      </c>
      <c r="X23" s="178">
        <f t="shared" si="1"/>
        <v>0</v>
      </c>
      <c r="Y23" s="178">
        <f t="shared" si="1"/>
        <v>0</v>
      </c>
      <c r="Z23" s="178">
        <f t="shared" si="1"/>
        <v>0</v>
      </c>
      <c r="AA23" s="178">
        <f t="shared" si="1"/>
        <v>0</v>
      </c>
      <c r="AB23" s="178">
        <f t="shared" si="1"/>
        <v>0</v>
      </c>
      <c r="AC23" s="178">
        <f t="shared" si="1"/>
        <v>0</v>
      </c>
      <c r="AD23" s="178">
        <f t="shared" si="1"/>
        <v>0</v>
      </c>
      <c r="AE23" s="178">
        <f t="shared" si="1"/>
        <v>0</v>
      </c>
      <c r="AF23" s="178">
        <f t="shared" si="1"/>
        <v>0</v>
      </c>
      <c r="AG23" s="178">
        <f t="shared" si="1"/>
        <v>0</v>
      </c>
      <c r="AH23" s="149"/>
      <c r="AI23" s="179"/>
      <c r="AJ23" s="180"/>
      <c r="AK23" s="149"/>
      <c r="AL23" s="149"/>
      <c r="AM23" s="149"/>
      <c r="AN23" s="149"/>
    </row>
    <row r="24" ht="17.25" customHeight="1">
      <c r="A24" s="121"/>
      <c r="B24" s="219" t="s">
        <v>51</v>
      </c>
      <c r="C24" s="181">
        <f t="shared" ref="C24:AG24" si="2">COUNTIF(C10:C21, true)</f>
        <v>0</v>
      </c>
      <c r="D24" s="181">
        <f t="shared" si="2"/>
        <v>0</v>
      </c>
      <c r="E24" s="181">
        <f t="shared" si="2"/>
        <v>0</v>
      </c>
      <c r="F24" s="181">
        <f t="shared" si="2"/>
        <v>0</v>
      </c>
      <c r="G24" s="181">
        <f t="shared" si="2"/>
        <v>0</v>
      </c>
      <c r="H24" s="181">
        <f t="shared" si="2"/>
        <v>0</v>
      </c>
      <c r="I24" s="181">
        <f t="shared" si="2"/>
        <v>0</v>
      </c>
      <c r="J24" s="181">
        <f t="shared" si="2"/>
        <v>0</v>
      </c>
      <c r="K24" s="181">
        <f t="shared" si="2"/>
        <v>0</v>
      </c>
      <c r="L24" s="181">
        <f t="shared" si="2"/>
        <v>0</v>
      </c>
      <c r="M24" s="181">
        <f t="shared" si="2"/>
        <v>0</v>
      </c>
      <c r="N24" s="181">
        <f t="shared" si="2"/>
        <v>0</v>
      </c>
      <c r="O24" s="181">
        <f t="shared" si="2"/>
        <v>0</v>
      </c>
      <c r="P24" s="181">
        <f t="shared" si="2"/>
        <v>0</v>
      </c>
      <c r="Q24" s="181">
        <f t="shared" si="2"/>
        <v>0</v>
      </c>
      <c r="R24" s="181">
        <f t="shared" si="2"/>
        <v>0</v>
      </c>
      <c r="S24" s="181">
        <f t="shared" si="2"/>
        <v>0</v>
      </c>
      <c r="T24" s="181">
        <f t="shared" si="2"/>
        <v>0</v>
      </c>
      <c r="U24" s="181">
        <f t="shared" si="2"/>
        <v>0</v>
      </c>
      <c r="V24" s="181">
        <f t="shared" si="2"/>
        <v>0</v>
      </c>
      <c r="W24" s="181">
        <f t="shared" si="2"/>
        <v>0</v>
      </c>
      <c r="X24" s="181">
        <f t="shared" si="2"/>
        <v>0</v>
      </c>
      <c r="Y24" s="181">
        <f t="shared" si="2"/>
        <v>0</v>
      </c>
      <c r="Z24" s="181">
        <f t="shared" si="2"/>
        <v>0</v>
      </c>
      <c r="AA24" s="181">
        <f t="shared" si="2"/>
        <v>0</v>
      </c>
      <c r="AB24" s="181">
        <f t="shared" si="2"/>
        <v>0</v>
      </c>
      <c r="AC24" s="181">
        <f t="shared" si="2"/>
        <v>0</v>
      </c>
      <c r="AD24" s="181">
        <f t="shared" si="2"/>
        <v>0</v>
      </c>
      <c r="AE24" s="181">
        <f t="shared" si="2"/>
        <v>0</v>
      </c>
      <c r="AF24" s="181">
        <f t="shared" si="2"/>
        <v>0</v>
      </c>
      <c r="AG24" s="181">
        <f t="shared" si="2"/>
        <v>0</v>
      </c>
      <c r="AH24" s="149"/>
      <c r="AI24" s="179"/>
      <c r="AJ24" s="180"/>
      <c r="AK24" s="149"/>
      <c r="AL24" s="149"/>
      <c r="AM24" s="149"/>
      <c r="AN24" s="149"/>
    </row>
    <row r="25" ht="17.25" customHeight="1">
      <c r="A25" s="121"/>
      <c r="B25" s="219" t="s">
        <v>52</v>
      </c>
      <c r="C25" s="182">
        <f t="shared" ref="C25:AG25" si="3">COUNTIF(C10:C21, false)</f>
        <v>12</v>
      </c>
      <c r="D25" s="182">
        <f t="shared" si="3"/>
        <v>12</v>
      </c>
      <c r="E25" s="182">
        <f t="shared" si="3"/>
        <v>12</v>
      </c>
      <c r="F25" s="182">
        <f t="shared" si="3"/>
        <v>12</v>
      </c>
      <c r="G25" s="182">
        <f t="shared" si="3"/>
        <v>12</v>
      </c>
      <c r="H25" s="182">
        <f t="shared" si="3"/>
        <v>12</v>
      </c>
      <c r="I25" s="182">
        <f t="shared" si="3"/>
        <v>12</v>
      </c>
      <c r="J25" s="182">
        <f t="shared" si="3"/>
        <v>12</v>
      </c>
      <c r="K25" s="182">
        <f t="shared" si="3"/>
        <v>12</v>
      </c>
      <c r="L25" s="182">
        <f t="shared" si="3"/>
        <v>12</v>
      </c>
      <c r="M25" s="182">
        <f t="shared" si="3"/>
        <v>12</v>
      </c>
      <c r="N25" s="182">
        <f t="shared" si="3"/>
        <v>12</v>
      </c>
      <c r="O25" s="182">
        <f t="shared" si="3"/>
        <v>12</v>
      </c>
      <c r="P25" s="182">
        <f t="shared" si="3"/>
        <v>12</v>
      </c>
      <c r="Q25" s="182">
        <f t="shared" si="3"/>
        <v>12</v>
      </c>
      <c r="R25" s="182">
        <f t="shared" si="3"/>
        <v>12</v>
      </c>
      <c r="S25" s="182">
        <f t="shared" si="3"/>
        <v>12</v>
      </c>
      <c r="T25" s="182">
        <f t="shared" si="3"/>
        <v>12</v>
      </c>
      <c r="U25" s="182">
        <f t="shared" si="3"/>
        <v>12</v>
      </c>
      <c r="V25" s="182">
        <f t="shared" si="3"/>
        <v>12</v>
      </c>
      <c r="W25" s="182">
        <f t="shared" si="3"/>
        <v>12</v>
      </c>
      <c r="X25" s="182">
        <f t="shared" si="3"/>
        <v>12</v>
      </c>
      <c r="Y25" s="182">
        <f t="shared" si="3"/>
        <v>12</v>
      </c>
      <c r="Z25" s="182">
        <f t="shared" si="3"/>
        <v>12</v>
      </c>
      <c r="AA25" s="182">
        <f t="shared" si="3"/>
        <v>12</v>
      </c>
      <c r="AB25" s="182">
        <f t="shared" si="3"/>
        <v>12</v>
      </c>
      <c r="AC25" s="182">
        <f t="shared" si="3"/>
        <v>12</v>
      </c>
      <c r="AD25" s="182">
        <f t="shared" si="3"/>
        <v>12</v>
      </c>
      <c r="AE25" s="182">
        <f t="shared" si="3"/>
        <v>12</v>
      </c>
      <c r="AF25" s="182">
        <f t="shared" si="3"/>
        <v>12</v>
      </c>
      <c r="AG25" s="182">
        <f t="shared" si="3"/>
        <v>12</v>
      </c>
      <c r="AH25" s="149"/>
      <c r="AI25" s="179"/>
      <c r="AJ25" s="180"/>
      <c r="AK25" s="149"/>
      <c r="AL25" s="149"/>
      <c r="AM25" s="149"/>
      <c r="AN25" s="149"/>
    </row>
    <row r="26" ht="17.25" customHeight="1">
      <c r="A26" s="121"/>
      <c r="B26" s="121"/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  <c r="AA26" s="149"/>
      <c r="AB26" s="149"/>
      <c r="AC26" s="149"/>
      <c r="AD26" s="149"/>
      <c r="AE26" s="149"/>
      <c r="AF26" s="149"/>
      <c r="AG26" s="149"/>
      <c r="AH26" s="149"/>
      <c r="AI26" s="179"/>
      <c r="AJ26" s="180"/>
      <c r="AK26" s="149"/>
      <c r="AL26" s="149"/>
      <c r="AM26" s="149"/>
      <c r="AN26" s="149"/>
    </row>
    <row r="27" ht="17.25" customHeight="1">
      <c r="A27" s="121"/>
      <c r="B27" s="121"/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  <c r="AA27" s="149"/>
      <c r="AB27" s="149"/>
      <c r="AC27" s="149"/>
      <c r="AD27" s="149"/>
      <c r="AE27" s="149"/>
      <c r="AF27" s="149"/>
      <c r="AG27" s="149"/>
      <c r="AH27" s="149"/>
      <c r="AI27" s="179"/>
      <c r="AJ27" s="180"/>
      <c r="AK27" s="149"/>
      <c r="AL27" s="149"/>
      <c r="AM27" s="149"/>
      <c r="AN27" s="149"/>
    </row>
    <row r="28" ht="17.25" customHeight="1">
      <c r="A28" s="121"/>
      <c r="B28" s="121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  <c r="AB28" s="149"/>
      <c r="AC28" s="149"/>
      <c r="AD28" s="149"/>
      <c r="AE28" s="149"/>
      <c r="AF28" s="149"/>
      <c r="AG28" s="149"/>
      <c r="AH28" s="149"/>
      <c r="AI28" s="179"/>
      <c r="AJ28" s="180"/>
      <c r="AK28" s="149"/>
      <c r="AL28" s="149"/>
      <c r="AM28" s="149"/>
      <c r="AN28" s="149"/>
    </row>
    <row r="29" ht="17.25" customHeight="1">
      <c r="A29" s="121"/>
      <c r="B29" s="121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79"/>
      <c r="AJ29" s="180"/>
      <c r="AK29" s="149"/>
      <c r="AL29" s="149"/>
      <c r="AM29" s="149"/>
      <c r="AN29" s="149"/>
    </row>
    <row r="30" ht="17.25" customHeight="1">
      <c r="A30" s="121"/>
      <c r="B30" s="121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49"/>
      <c r="AE30" s="149"/>
      <c r="AF30" s="149"/>
      <c r="AG30" s="149"/>
      <c r="AH30" s="149"/>
      <c r="AI30" s="179"/>
      <c r="AJ30" s="180"/>
      <c r="AK30" s="149"/>
      <c r="AL30" s="149"/>
      <c r="AM30" s="149"/>
      <c r="AN30" s="149"/>
    </row>
    <row r="31" ht="17.25" customHeight="1">
      <c r="A31" s="121"/>
      <c r="B31" s="121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  <c r="AI31" s="179"/>
      <c r="AJ31" s="180"/>
      <c r="AK31" s="149"/>
      <c r="AL31" s="149"/>
      <c r="AM31" s="149"/>
      <c r="AN31" s="149"/>
    </row>
    <row r="32" ht="17.25" customHeight="1">
      <c r="A32" s="121"/>
      <c r="B32" s="121"/>
      <c r="C32" s="149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79"/>
      <c r="AJ32" s="180"/>
      <c r="AK32" s="149"/>
      <c r="AL32" s="149"/>
      <c r="AM32" s="149"/>
      <c r="AN32" s="149"/>
    </row>
    <row r="33" ht="17.25" customHeight="1">
      <c r="A33" s="121"/>
      <c r="B33" s="121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149"/>
      <c r="AG33" s="149"/>
      <c r="AH33" s="149"/>
      <c r="AI33" s="179"/>
      <c r="AJ33" s="180"/>
      <c r="AK33" s="149"/>
      <c r="AL33" s="149"/>
      <c r="AM33" s="149"/>
      <c r="AN33" s="149"/>
    </row>
    <row r="34" ht="17.25" customHeight="1">
      <c r="A34" s="121"/>
      <c r="B34" s="121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  <c r="AC34" s="149"/>
      <c r="AD34" s="149"/>
      <c r="AE34" s="149"/>
      <c r="AF34" s="149"/>
      <c r="AG34" s="149"/>
      <c r="AH34" s="149"/>
      <c r="AI34" s="179"/>
      <c r="AJ34" s="180"/>
      <c r="AK34" s="149"/>
      <c r="AL34" s="149"/>
      <c r="AM34" s="149"/>
      <c r="AN34" s="149"/>
    </row>
    <row r="35" ht="17.25" customHeight="1">
      <c r="A35" s="121"/>
      <c r="B35" s="121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149"/>
      <c r="AE35" s="149"/>
      <c r="AF35" s="149"/>
      <c r="AG35" s="149"/>
      <c r="AH35" s="149"/>
      <c r="AI35" s="183"/>
      <c r="AJ35" s="183"/>
      <c r="AK35" s="149"/>
      <c r="AL35" s="149"/>
      <c r="AM35" s="149"/>
      <c r="AN35" s="149"/>
    </row>
    <row r="36" ht="17.25" customHeight="1">
      <c r="A36" s="121"/>
      <c r="B36" s="184" t="s">
        <v>53</v>
      </c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7"/>
      <c r="AH36" s="149"/>
      <c r="AI36" s="184" t="s">
        <v>54</v>
      </c>
      <c r="AJ36" s="46"/>
      <c r="AK36" s="46"/>
      <c r="AL36" s="46"/>
      <c r="AM36" s="47"/>
      <c r="AN36" s="149"/>
    </row>
    <row r="37" ht="17.25" customHeight="1">
      <c r="A37" s="121"/>
      <c r="B37" s="185" t="s">
        <v>55</v>
      </c>
      <c r="C37" s="186"/>
      <c r="D37" s="186"/>
      <c r="E37" s="186"/>
      <c r="F37" s="186"/>
      <c r="G37" s="186"/>
      <c r="H37" s="186"/>
      <c r="I37" s="186"/>
      <c r="J37" s="186"/>
      <c r="K37" s="186"/>
      <c r="L37" s="186"/>
      <c r="M37" s="186"/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  <c r="AA37" s="186"/>
      <c r="AB37" s="186"/>
      <c r="AC37" s="186"/>
      <c r="AD37" s="186"/>
      <c r="AE37" s="186"/>
      <c r="AF37" s="186"/>
      <c r="AG37" s="186"/>
      <c r="AH37" s="149"/>
      <c r="AI37" s="187" t="str">
        <f t="shared" ref="AI37:AI39" si="4">iferror(Average(C37:AG37), "")</f>
        <v/>
      </c>
      <c r="AJ37" s="46"/>
      <c r="AK37" s="46"/>
      <c r="AL37" s="46"/>
      <c r="AM37" s="47"/>
      <c r="AN37" s="149"/>
    </row>
    <row r="38" ht="17.25" customHeight="1">
      <c r="A38" s="121"/>
      <c r="B38" s="185" t="s">
        <v>56</v>
      </c>
      <c r="C38" s="188"/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88"/>
      <c r="P38" s="188"/>
      <c r="Q38" s="188"/>
      <c r="R38" s="188"/>
      <c r="S38" s="188"/>
      <c r="T38" s="188"/>
      <c r="U38" s="188"/>
      <c r="V38" s="188"/>
      <c r="W38" s="188"/>
      <c r="X38" s="188"/>
      <c r="Y38" s="188"/>
      <c r="Z38" s="188"/>
      <c r="AA38" s="188"/>
      <c r="AB38" s="188"/>
      <c r="AC38" s="188"/>
      <c r="AD38" s="188"/>
      <c r="AE38" s="188"/>
      <c r="AF38" s="188"/>
      <c r="AG38" s="188"/>
      <c r="AH38" s="149"/>
      <c r="AI38" s="187" t="str">
        <f t="shared" si="4"/>
        <v/>
      </c>
      <c r="AJ38" s="46"/>
      <c r="AK38" s="46"/>
      <c r="AL38" s="46"/>
      <c r="AM38" s="47"/>
      <c r="AN38" s="149"/>
    </row>
    <row r="39" ht="17.25" customHeight="1">
      <c r="A39" s="121"/>
      <c r="B39" s="185" t="s">
        <v>63</v>
      </c>
      <c r="C39" s="189"/>
      <c r="D39" s="189"/>
      <c r="E39" s="189"/>
      <c r="F39" s="189"/>
      <c r="G39" s="189"/>
      <c r="H39" s="189"/>
      <c r="I39" s="189"/>
      <c r="J39" s="189"/>
      <c r="K39" s="189"/>
      <c r="L39" s="189"/>
      <c r="M39" s="189"/>
      <c r="N39" s="189"/>
      <c r="O39" s="189"/>
      <c r="P39" s="189"/>
      <c r="Q39" s="189"/>
      <c r="R39" s="189"/>
      <c r="S39" s="189"/>
      <c r="T39" s="189"/>
      <c r="U39" s="189"/>
      <c r="V39" s="189"/>
      <c r="W39" s="189"/>
      <c r="X39" s="189"/>
      <c r="Y39" s="189"/>
      <c r="Z39" s="189"/>
      <c r="AA39" s="189"/>
      <c r="AB39" s="189"/>
      <c r="AC39" s="189"/>
      <c r="AD39" s="189"/>
      <c r="AE39" s="189"/>
      <c r="AF39" s="189"/>
      <c r="AG39" s="189"/>
      <c r="AH39" s="149"/>
      <c r="AI39" s="187" t="str">
        <f t="shared" si="4"/>
        <v/>
      </c>
      <c r="AJ39" s="46"/>
      <c r="AK39" s="46"/>
      <c r="AL39" s="46"/>
      <c r="AM39" s="47"/>
      <c r="AN39" s="149"/>
    </row>
    <row r="40" ht="17.25" customHeight="1">
      <c r="A40" s="121"/>
      <c r="B40" s="121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  <c r="AK40" s="149"/>
      <c r="AL40" s="149"/>
      <c r="AM40" s="149"/>
      <c r="AN40" s="149"/>
    </row>
    <row r="41" ht="17.25" customHeight="1">
      <c r="A41" s="121"/>
      <c r="B41" s="121"/>
      <c r="C41" s="149"/>
      <c r="D41" s="149"/>
      <c r="E41" s="149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  <c r="AB41" s="149"/>
      <c r="AC41" s="149"/>
      <c r="AD41" s="149"/>
      <c r="AE41" s="149"/>
      <c r="AF41" s="149"/>
      <c r="AG41" s="149"/>
      <c r="AH41" s="149"/>
      <c r="AI41" s="149"/>
      <c r="AJ41" s="149"/>
      <c r="AK41" s="149"/>
      <c r="AL41" s="149"/>
      <c r="AM41" s="149"/>
      <c r="AN41" s="149"/>
    </row>
    <row r="42" ht="17.25" customHeight="1">
      <c r="A42" s="121"/>
      <c r="B42" s="136" t="s">
        <v>58</v>
      </c>
      <c r="C42" s="190" t="s">
        <v>44</v>
      </c>
      <c r="D42" s="46"/>
      <c r="E42" s="46"/>
      <c r="F42" s="46"/>
      <c r="G42" s="46"/>
      <c r="H42" s="47"/>
      <c r="I42" s="151"/>
      <c r="J42" s="191" t="s">
        <v>45</v>
      </c>
      <c r="K42" s="46"/>
      <c r="L42" s="46"/>
      <c r="M42" s="46"/>
      <c r="N42" s="46"/>
      <c r="O42" s="47"/>
      <c r="P42" s="152"/>
      <c r="Q42" s="192" t="s">
        <v>46</v>
      </c>
      <c r="R42" s="46"/>
      <c r="S42" s="46"/>
      <c r="T42" s="46"/>
      <c r="U42" s="46"/>
      <c r="V42" s="47"/>
      <c r="W42" s="154"/>
      <c r="X42" s="193" t="s">
        <v>47</v>
      </c>
      <c r="Y42" s="46"/>
      <c r="Z42" s="46"/>
      <c r="AA42" s="46"/>
      <c r="AB42" s="46"/>
      <c r="AC42" s="47"/>
      <c r="AD42" s="153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</row>
    <row r="43" ht="17.25" customHeight="1">
      <c r="A43" s="121"/>
      <c r="B43" s="86"/>
      <c r="C43" s="194"/>
      <c r="D43" s="46"/>
      <c r="E43" s="46"/>
      <c r="F43" s="46"/>
      <c r="G43" s="46"/>
      <c r="H43" s="47"/>
      <c r="I43" s="195" t="b">
        <v>0</v>
      </c>
      <c r="J43" s="196"/>
      <c r="K43" s="46"/>
      <c r="L43" s="46"/>
      <c r="M43" s="46"/>
      <c r="N43" s="46"/>
      <c r="O43" s="47"/>
      <c r="P43" s="197" t="b">
        <v>0</v>
      </c>
      <c r="Q43" s="198"/>
      <c r="R43" s="46"/>
      <c r="S43" s="46"/>
      <c r="T43" s="46"/>
      <c r="U43" s="46"/>
      <c r="V43" s="47"/>
      <c r="W43" s="199" t="b">
        <v>0</v>
      </c>
      <c r="X43" s="200"/>
      <c r="Y43" s="46"/>
      <c r="Z43" s="46"/>
      <c r="AA43" s="46"/>
      <c r="AB43" s="46"/>
      <c r="AC43" s="47"/>
      <c r="AD43" s="201" t="b">
        <v>0</v>
      </c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</row>
    <row r="44" ht="17.25" customHeight="1">
      <c r="A44" s="121"/>
      <c r="B44" s="121"/>
      <c r="C44" s="194"/>
      <c r="D44" s="46"/>
      <c r="E44" s="46"/>
      <c r="F44" s="46"/>
      <c r="G44" s="46"/>
      <c r="H44" s="47"/>
      <c r="I44" s="195" t="b">
        <v>0</v>
      </c>
      <c r="J44" s="196"/>
      <c r="K44" s="46"/>
      <c r="L44" s="46"/>
      <c r="M44" s="46"/>
      <c r="N44" s="46"/>
      <c r="O44" s="47"/>
      <c r="P44" s="197" t="b">
        <v>0</v>
      </c>
      <c r="Q44" s="198"/>
      <c r="R44" s="46"/>
      <c r="S44" s="46"/>
      <c r="T44" s="46"/>
      <c r="U44" s="46"/>
      <c r="V44" s="47"/>
      <c r="W44" s="199" t="b">
        <v>0</v>
      </c>
      <c r="X44" s="200"/>
      <c r="Y44" s="46"/>
      <c r="Z44" s="46"/>
      <c r="AA44" s="46"/>
      <c r="AB44" s="46"/>
      <c r="AC44" s="47"/>
      <c r="AD44" s="201" t="b">
        <v>0</v>
      </c>
      <c r="AE44" s="121"/>
      <c r="AF44" s="121"/>
      <c r="AG44" s="202" t="s">
        <v>59</v>
      </c>
      <c r="AH44" s="121"/>
      <c r="AI44" s="121"/>
      <c r="AJ44" s="121"/>
      <c r="AK44" s="121"/>
      <c r="AL44" s="121"/>
      <c r="AM44" s="121"/>
      <c r="AN44" s="121"/>
    </row>
    <row r="45" ht="17.25" customHeight="1">
      <c r="A45" s="121"/>
      <c r="B45" s="121"/>
      <c r="C45" s="194"/>
      <c r="D45" s="46"/>
      <c r="E45" s="46"/>
      <c r="F45" s="46"/>
      <c r="G45" s="46"/>
      <c r="H45" s="47"/>
      <c r="I45" s="195" t="b">
        <v>0</v>
      </c>
      <c r="J45" s="196"/>
      <c r="K45" s="46"/>
      <c r="L45" s="46"/>
      <c r="M45" s="46"/>
      <c r="N45" s="46"/>
      <c r="O45" s="47"/>
      <c r="P45" s="197" t="b">
        <v>0</v>
      </c>
      <c r="Q45" s="198"/>
      <c r="R45" s="46"/>
      <c r="S45" s="46"/>
      <c r="T45" s="46"/>
      <c r="U45" s="46"/>
      <c r="V45" s="47"/>
      <c r="W45" s="199" t="b">
        <v>0</v>
      </c>
      <c r="X45" s="200"/>
      <c r="Y45" s="46"/>
      <c r="Z45" s="46"/>
      <c r="AA45" s="46"/>
      <c r="AB45" s="46"/>
      <c r="AC45" s="47"/>
      <c r="AD45" s="201" t="b">
        <v>0</v>
      </c>
      <c r="AE45" s="121"/>
      <c r="AF45" s="121"/>
      <c r="AG45" s="203">
        <v>8.0</v>
      </c>
      <c r="AH45" s="120"/>
      <c r="AI45" s="120"/>
      <c r="AJ45" s="120"/>
      <c r="AK45" s="120"/>
      <c r="AL45" s="120"/>
      <c r="AM45" s="120"/>
      <c r="AN45" s="120"/>
    </row>
    <row r="46" ht="17.25" customHeight="1">
      <c r="A46" s="121"/>
      <c r="B46" s="121"/>
      <c r="C46" s="194"/>
      <c r="D46" s="46"/>
      <c r="E46" s="46"/>
      <c r="F46" s="46"/>
      <c r="G46" s="46"/>
      <c r="H46" s="47"/>
      <c r="I46" s="195" t="b">
        <v>0</v>
      </c>
      <c r="J46" s="196"/>
      <c r="K46" s="46"/>
      <c r="L46" s="46"/>
      <c r="M46" s="46"/>
      <c r="N46" s="46"/>
      <c r="O46" s="47"/>
      <c r="P46" s="197" t="b">
        <v>0</v>
      </c>
      <c r="Q46" s="198"/>
      <c r="R46" s="46"/>
      <c r="S46" s="46"/>
      <c r="T46" s="46"/>
      <c r="U46" s="46"/>
      <c r="V46" s="47"/>
      <c r="W46" s="199" t="b">
        <v>0</v>
      </c>
      <c r="X46" s="200"/>
      <c r="Y46" s="46"/>
      <c r="Z46" s="46"/>
      <c r="AA46" s="46"/>
      <c r="AB46" s="46"/>
      <c r="AC46" s="47"/>
      <c r="AD46" s="201" t="b">
        <v>0</v>
      </c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</row>
    <row r="47" ht="17.25" customHeight="1">
      <c r="A47" s="121"/>
      <c r="B47" s="121"/>
      <c r="C47" s="194"/>
      <c r="D47" s="46"/>
      <c r="E47" s="46"/>
      <c r="F47" s="46"/>
      <c r="G47" s="46"/>
      <c r="H47" s="47"/>
      <c r="I47" s="195" t="b">
        <v>0</v>
      </c>
      <c r="J47" s="196"/>
      <c r="K47" s="46"/>
      <c r="L47" s="46"/>
      <c r="M47" s="46"/>
      <c r="N47" s="46"/>
      <c r="O47" s="47"/>
      <c r="P47" s="197" t="b">
        <v>0</v>
      </c>
      <c r="Q47" s="198"/>
      <c r="R47" s="46"/>
      <c r="S47" s="46"/>
      <c r="T47" s="46"/>
      <c r="U47" s="46"/>
      <c r="V47" s="47"/>
      <c r="W47" s="199" t="b">
        <v>0</v>
      </c>
      <c r="X47" s="200"/>
      <c r="Y47" s="46"/>
      <c r="Z47" s="46"/>
      <c r="AA47" s="46"/>
      <c r="AB47" s="46"/>
      <c r="AC47" s="47"/>
      <c r="AD47" s="201" t="b">
        <v>0</v>
      </c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</row>
    <row r="48" ht="17.25" customHeight="1">
      <c r="A48" s="121"/>
      <c r="B48" s="121"/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</row>
    <row r="49" ht="17.25" customHeight="1">
      <c r="A49" s="121"/>
      <c r="B49" s="136" t="s">
        <v>60</v>
      </c>
      <c r="C49" s="204"/>
      <c r="D49" s="50"/>
      <c r="E49" s="50"/>
      <c r="F49" s="50"/>
      <c r="G49" s="50"/>
      <c r="H49" s="50"/>
      <c r="I49" s="51"/>
      <c r="J49" s="204"/>
      <c r="K49" s="50"/>
      <c r="L49" s="50"/>
      <c r="M49" s="50"/>
      <c r="N49" s="50"/>
      <c r="O49" s="50"/>
      <c r="P49" s="51"/>
      <c r="Q49" s="204"/>
      <c r="R49" s="50"/>
      <c r="S49" s="50"/>
      <c r="T49" s="50"/>
      <c r="U49" s="50"/>
      <c r="V49" s="50"/>
      <c r="W49" s="51"/>
      <c r="X49" s="204"/>
      <c r="Y49" s="50"/>
      <c r="Z49" s="50"/>
      <c r="AA49" s="50"/>
      <c r="AB49" s="50"/>
      <c r="AC49" s="50"/>
      <c r="AD49" s="5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</row>
    <row r="50" ht="17.25" customHeight="1">
      <c r="A50" s="121"/>
      <c r="B50" s="205"/>
      <c r="C50" s="206"/>
      <c r="D50" s="55"/>
      <c r="E50" s="55"/>
      <c r="F50" s="55"/>
      <c r="G50" s="55"/>
      <c r="H50" s="55"/>
      <c r="I50" s="56"/>
      <c r="J50" s="206"/>
      <c r="K50" s="55"/>
      <c r="L50" s="55"/>
      <c r="M50" s="55"/>
      <c r="N50" s="55"/>
      <c r="O50" s="55"/>
      <c r="P50" s="56"/>
      <c r="Q50" s="206"/>
      <c r="R50" s="55"/>
      <c r="S50" s="55"/>
      <c r="T50" s="55"/>
      <c r="U50" s="55"/>
      <c r="V50" s="55"/>
      <c r="W50" s="56"/>
      <c r="X50" s="206"/>
      <c r="Y50" s="55"/>
      <c r="Z50" s="55"/>
      <c r="AA50" s="55"/>
      <c r="AB50" s="55"/>
      <c r="AC50" s="55"/>
      <c r="AD50" s="56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</row>
    <row r="51" ht="17.25" customHeight="1">
      <c r="A51" s="121"/>
      <c r="B51" s="86"/>
      <c r="C51" s="207"/>
      <c r="D51" s="60"/>
      <c r="E51" s="60"/>
      <c r="F51" s="60"/>
      <c r="G51" s="60"/>
      <c r="H51" s="60"/>
      <c r="I51" s="61"/>
      <c r="J51" s="207"/>
      <c r="K51" s="60"/>
      <c r="L51" s="60"/>
      <c r="M51" s="60"/>
      <c r="N51" s="60"/>
      <c r="O51" s="60"/>
      <c r="P51" s="61"/>
      <c r="Q51" s="207"/>
      <c r="R51" s="60"/>
      <c r="S51" s="60"/>
      <c r="T51" s="60"/>
      <c r="U51" s="60"/>
      <c r="V51" s="60"/>
      <c r="W51" s="61"/>
      <c r="X51" s="207"/>
      <c r="Y51" s="60"/>
      <c r="Z51" s="60"/>
      <c r="AA51" s="60"/>
      <c r="AB51" s="60"/>
      <c r="AC51" s="60"/>
      <c r="AD51" s="6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</row>
    <row r="52" ht="17.25" customHeight="1">
      <c r="A52" s="121"/>
      <c r="B52" s="121"/>
      <c r="C52" s="208"/>
      <c r="I52" s="170"/>
      <c r="J52" s="208"/>
      <c r="P52" s="170"/>
      <c r="Q52" s="208"/>
      <c r="W52" s="170"/>
      <c r="X52" s="208"/>
      <c r="AD52" s="170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</row>
    <row r="53" ht="17.25" customHeight="1">
      <c r="A53" s="121"/>
      <c r="B53" s="121"/>
      <c r="C53" s="121"/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</row>
    <row r="54" ht="17.25" customHeight="1">
      <c r="A54" s="121"/>
      <c r="B54" s="62" t="s">
        <v>61</v>
      </c>
      <c r="C54" s="209" t="s">
        <v>62</v>
      </c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7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</row>
    <row r="55" ht="17.25" customHeight="1">
      <c r="A55" s="121"/>
      <c r="B55" s="43"/>
      <c r="C55" s="210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7"/>
      <c r="P55" s="211" t="b">
        <v>0</v>
      </c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</row>
    <row r="56" ht="17.25" customHeight="1">
      <c r="A56" s="121"/>
      <c r="B56" s="212"/>
      <c r="C56" s="210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7"/>
      <c r="P56" s="211" t="b">
        <v>0</v>
      </c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</row>
    <row r="57" ht="17.25" customHeight="1">
      <c r="A57" s="121"/>
      <c r="B57" s="212"/>
      <c r="C57" s="210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7"/>
      <c r="P57" s="211" t="b">
        <v>0</v>
      </c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</row>
    <row r="58" ht="17.25" customHeight="1">
      <c r="A58" s="121"/>
      <c r="B58" s="212"/>
      <c r="C58" s="210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7"/>
      <c r="P58" s="211" t="b">
        <v>0</v>
      </c>
      <c r="Q58" s="121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  <c r="AL58" s="121"/>
      <c r="AM58" s="121"/>
      <c r="AN58" s="121"/>
    </row>
    <row r="59" ht="17.25" customHeight="1">
      <c r="A59" s="121"/>
      <c r="B59" s="212"/>
      <c r="C59" s="210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7"/>
      <c r="P59" s="211" t="b">
        <v>0</v>
      </c>
      <c r="Q59" s="121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1"/>
      <c r="AM59" s="121"/>
      <c r="AN59" s="121"/>
    </row>
    <row r="60" ht="17.25" customHeight="1">
      <c r="A60" s="121"/>
      <c r="B60" s="121"/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  <c r="AE60" s="121"/>
      <c r="AF60" s="121"/>
      <c r="AG60" s="121"/>
      <c r="AH60" s="121"/>
      <c r="AI60" s="121"/>
      <c r="AJ60" s="121"/>
      <c r="AK60" s="121"/>
      <c r="AL60" s="121"/>
      <c r="AM60" s="121"/>
      <c r="AN60" s="121"/>
    </row>
    <row r="61" ht="17.25" hidden="1" customHeight="1">
      <c r="A61" s="121"/>
      <c r="B61" s="121"/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1"/>
      <c r="AL61" s="121"/>
      <c r="AM61" s="121"/>
      <c r="AN61" s="121"/>
    </row>
    <row r="62" ht="17.25" hidden="1" customHeight="1">
      <c r="A62" s="121"/>
      <c r="B62" s="213">
        <f>COUNTIF($I$43:$I$47, true)</f>
        <v>0</v>
      </c>
      <c r="C62" s="214" t="str">
        <f t="array" ref="C62:H66">$C$43:$H$47</f>
        <v/>
      </c>
      <c r="D62" s="214"/>
      <c r="E62" s="214"/>
      <c r="F62" s="214"/>
      <c r="G62" s="214"/>
      <c r="H62" s="214"/>
      <c r="I62" s="213">
        <f t="array" ref="I62">COUNTA(UNIQUE($C$62:$C$140))</f>
        <v>0</v>
      </c>
      <c r="J62" s="215">
        <f>sum($B$62,$B$78,$B$110,$B$126)</f>
        <v>0</v>
      </c>
      <c r="K62" s="213">
        <f>sum(COUNTA($I$43:$I$47),COUNTA($P$43:$P$47),COUNTA($W$43:$W$47),COUNTA($AD$43:$AD$47),COUNTA($P$55:$P$59))</f>
        <v>25</v>
      </c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121"/>
      <c r="AK62" s="121"/>
      <c r="AL62" s="121"/>
      <c r="AM62" s="121"/>
      <c r="AN62" s="121"/>
    </row>
    <row r="63" ht="17.25" hidden="1" customHeight="1">
      <c r="A63" s="121"/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 s="121"/>
      <c r="AH63" s="121"/>
      <c r="AI63" s="121"/>
      <c r="AJ63" s="121"/>
      <c r="AK63" s="121"/>
      <c r="AL63" s="121"/>
      <c r="AM63" s="121"/>
      <c r="AN63" s="121"/>
    </row>
    <row r="64" ht="17.25" hidden="1" customHeight="1">
      <c r="A64" s="121"/>
      <c r="B64" s="214"/>
      <c r="C64" s="214"/>
      <c r="D64" s="214"/>
      <c r="E64" s="214"/>
      <c r="F64" s="214"/>
      <c r="G64" s="214"/>
      <c r="H64" s="214"/>
      <c r="I64" s="214"/>
      <c r="J64" s="214"/>
      <c r="K64" s="214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121"/>
      <c r="AK64" s="121"/>
      <c r="AL64" s="121"/>
      <c r="AM64" s="121"/>
      <c r="AN64" s="121"/>
    </row>
    <row r="65" ht="17.25" hidden="1" customHeight="1">
      <c r="A65" s="121"/>
      <c r="B65" s="214"/>
      <c r="C65" s="214"/>
      <c r="D65" s="214"/>
      <c r="E65" s="214"/>
      <c r="F65" s="214"/>
      <c r="G65" s="214"/>
      <c r="H65" s="214"/>
      <c r="I65" s="214"/>
      <c r="J65" s="214"/>
      <c r="K65" s="214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1"/>
      <c r="AI65" s="121"/>
      <c r="AJ65" s="121"/>
      <c r="AK65" s="121"/>
      <c r="AL65" s="121"/>
      <c r="AM65" s="121"/>
      <c r="AN65" s="121"/>
    </row>
    <row r="66" ht="17.25" hidden="1" customHeight="1">
      <c r="A66" s="121"/>
      <c r="B66" s="214"/>
      <c r="C66" s="214"/>
      <c r="D66" s="214"/>
      <c r="E66" s="214"/>
      <c r="F66" s="214"/>
      <c r="G66" s="214"/>
      <c r="H66" s="214"/>
      <c r="I66" s="214"/>
      <c r="J66" s="214"/>
      <c r="K66" s="214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  <c r="AA66" s="121"/>
      <c r="AB66" s="121"/>
      <c r="AC66" s="121"/>
      <c r="AD66" s="121"/>
      <c r="AE66" s="121"/>
      <c r="AF66" s="121"/>
      <c r="AG66" s="121"/>
      <c r="AH66" s="121"/>
      <c r="AI66" s="121"/>
      <c r="AJ66" s="121"/>
      <c r="AK66" s="121"/>
      <c r="AL66" s="121"/>
      <c r="AM66" s="121"/>
      <c r="AN66" s="121"/>
    </row>
    <row r="67" ht="17.25" hidden="1" customHeight="1">
      <c r="A67" s="121"/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1"/>
      <c r="AJ67" s="121"/>
      <c r="AK67" s="121"/>
      <c r="AL67" s="121"/>
      <c r="AM67" s="121"/>
      <c r="AN67" s="121"/>
    </row>
    <row r="68" ht="17.25" hidden="1" customHeight="1">
      <c r="A68" s="121"/>
      <c r="B68" s="214"/>
      <c r="C68" s="214"/>
      <c r="D68" s="214"/>
      <c r="E68" s="214"/>
      <c r="F68" s="214"/>
      <c r="G68" s="214"/>
      <c r="H68" s="214"/>
      <c r="I68" s="214"/>
      <c r="J68" s="214"/>
      <c r="K68" s="214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  <c r="AA68" s="121"/>
      <c r="AB68" s="121"/>
      <c r="AC68" s="121"/>
      <c r="AD68" s="121"/>
      <c r="AE68" s="121"/>
      <c r="AF68" s="121"/>
      <c r="AG68" s="121"/>
      <c r="AH68" s="121"/>
      <c r="AI68" s="121"/>
      <c r="AJ68" s="121"/>
      <c r="AK68" s="121"/>
      <c r="AL68" s="121"/>
      <c r="AM68" s="121"/>
      <c r="AN68" s="121"/>
    </row>
    <row r="69" ht="17.25" hidden="1" customHeight="1">
      <c r="A69" s="121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  <c r="AC69" s="121"/>
      <c r="AD69" s="121"/>
      <c r="AE69" s="121"/>
      <c r="AF69" s="121"/>
      <c r="AG69" s="121"/>
      <c r="AH69" s="121"/>
      <c r="AI69" s="121"/>
      <c r="AJ69" s="121"/>
      <c r="AK69" s="121"/>
      <c r="AL69" s="121"/>
      <c r="AM69" s="121"/>
      <c r="AN69" s="121"/>
    </row>
    <row r="70" ht="17.25" hidden="1" customHeight="1">
      <c r="A70" s="121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  <c r="AC70" s="121"/>
      <c r="AD70" s="121"/>
      <c r="AE70" s="121"/>
      <c r="AF70" s="121"/>
      <c r="AG70" s="121"/>
      <c r="AH70" s="121"/>
      <c r="AI70" s="121"/>
      <c r="AJ70" s="121"/>
      <c r="AK70" s="121"/>
      <c r="AL70" s="121"/>
      <c r="AM70" s="121"/>
      <c r="AN70" s="121"/>
    </row>
    <row r="71" ht="17.25" hidden="1" customHeight="1">
      <c r="A71" s="121"/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  <c r="AD71" s="121"/>
      <c r="AE71" s="121"/>
      <c r="AF71" s="121"/>
      <c r="AG71" s="121"/>
      <c r="AH71" s="121"/>
      <c r="AI71" s="121"/>
      <c r="AJ71" s="121"/>
      <c r="AK71" s="121"/>
      <c r="AL71" s="121"/>
      <c r="AM71" s="121"/>
      <c r="AN71" s="121"/>
    </row>
    <row r="72" ht="17.25" hidden="1" customHeight="1">
      <c r="A72" s="121"/>
      <c r="B72" s="214"/>
      <c r="C72" s="214"/>
      <c r="D72" s="214"/>
      <c r="E72" s="214"/>
      <c r="F72" s="214"/>
      <c r="G72" s="214"/>
      <c r="H72" s="214"/>
      <c r="I72" s="214"/>
      <c r="J72" s="214"/>
      <c r="K72" s="214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  <c r="AD72" s="121"/>
      <c r="AE72" s="121"/>
      <c r="AF72" s="121"/>
      <c r="AG72" s="121"/>
      <c r="AH72" s="121"/>
      <c r="AI72" s="121"/>
      <c r="AJ72" s="121"/>
      <c r="AK72" s="121"/>
      <c r="AL72" s="121"/>
      <c r="AM72" s="121"/>
      <c r="AN72" s="121"/>
    </row>
    <row r="73" ht="17.25" hidden="1" customHeight="1">
      <c r="A73" s="121"/>
      <c r="B73" s="214"/>
      <c r="C73" s="214"/>
      <c r="D73" s="214"/>
      <c r="E73" s="214"/>
      <c r="F73" s="214"/>
      <c r="G73" s="214"/>
      <c r="H73" s="214"/>
      <c r="I73" s="214"/>
      <c r="J73" s="214"/>
      <c r="K73" s="214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  <c r="AA73" s="121"/>
      <c r="AB73" s="121"/>
      <c r="AC73" s="121"/>
      <c r="AD73" s="121"/>
      <c r="AE73" s="121"/>
      <c r="AF73" s="121"/>
      <c r="AG73" s="121"/>
      <c r="AH73" s="121"/>
      <c r="AI73" s="121"/>
      <c r="AJ73" s="121"/>
      <c r="AK73" s="121"/>
      <c r="AL73" s="121"/>
      <c r="AM73" s="121"/>
      <c r="AN73" s="121"/>
    </row>
    <row r="74" ht="17.25" hidden="1" customHeight="1">
      <c r="A74" s="121"/>
      <c r="B74" s="214"/>
      <c r="C74" s="214"/>
      <c r="D74" s="214"/>
      <c r="E74" s="214"/>
      <c r="F74" s="214"/>
      <c r="G74" s="214"/>
      <c r="H74" s="214"/>
      <c r="I74" s="214"/>
      <c r="J74" s="214"/>
      <c r="K74" s="214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  <c r="AD74" s="121"/>
      <c r="AE74" s="121"/>
      <c r="AF74" s="121"/>
      <c r="AG74" s="121"/>
      <c r="AH74" s="121"/>
      <c r="AI74" s="121"/>
      <c r="AJ74" s="121"/>
      <c r="AK74" s="121"/>
      <c r="AL74" s="121"/>
      <c r="AM74" s="121"/>
      <c r="AN74" s="121"/>
    </row>
    <row r="75" ht="17.25" hidden="1" customHeight="1">
      <c r="A75" s="121"/>
      <c r="B75" s="214"/>
      <c r="C75" s="214"/>
      <c r="D75" s="214"/>
      <c r="E75" s="214"/>
      <c r="F75" s="214"/>
      <c r="G75" s="214"/>
      <c r="H75" s="214"/>
      <c r="I75" s="214"/>
      <c r="J75" s="214"/>
      <c r="K75" s="214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  <c r="AD75" s="121"/>
      <c r="AE75" s="121"/>
      <c r="AF75" s="121"/>
      <c r="AG75" s="121"/>
      <c r="AH75" s="121"/>
      <c r="AI75" s="121"/>
      <c r="AJ75" s="121"/>
      <c r="AK75" s="121"/>
      <c r="AL75" s="121"/>
      <c r="AM75" s="121"/>
      <c r="AN75" s="121"/>
    </row>
    <row r="76" ht="17.25" hidden="1" customHeight="1">
      <c r="A76" s="121"/>
      <c r="B76" s="214"/>
      <c r="C76" s="214"/>
      <c r="D76" s="214"/>
      <c r="E76" s="214"/>
      <c r="F76" s="214"/>
      <c r="G76" s="214"/>
      <c r="H76" s="214"/>
      <c r="I76" s="214"/>
      <c r="J76" s="214"/>
      <c r="K76" s="214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  <c r="AC76" s="121"/>
      <c r="AD76" s="121"/>
      <c r="AE76" s="121"/>
      <c r="AF76" s="121"/>
      <c r="AG76" s="121"/>
      <c r="AH76" s="121"/>
      <c r="AI76" s="121"/>
      <c r="AJ76" s="121"/>
      <c r="AK76" s="121"/>
      <c r="AL76" s="121"/>
      <c r="AM76" s="121"/>
      <c r="AN76" s="121"/>
    </row>
    <row r="77" ht="17.25" hidden="1" customHeight="1">
      <c r="A77" s="121"/>
      <c r="B77" s="214"/>
      <c r="C77" s="214"/>
      <c r="D77" s="214"/>
      <c r="E77" s="214"/>
      <c r="F77" s="214"/>
      <c r="G77" s="214"/>
      <c r="H77" s="214"/>
      <c r="I77" s="214"/>
      <c r="J77" s="214"/>
      <c r="K77" s="214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  <c r="AD77" s="121"/>
      <c r="AE77" s="121"/>
      <c r="AF77" s="121"/>
      <c r="AG77" s="121"/>
      <c r="AH77" s="121"/>
      <c r="AI77" s="121"/>
      <c r="AJ77" s="121"/>
      <c r="AK77" s="121"/>
      <c r="AL77" s="121"/>
      <c r="AM77" s="121"/>
      <c r="AN77" s="121"/>
    </row>
    <row r="78" ht="17.25" hidden="1" customHeight="1">
      <c r="A78" s="121"/>
      <c r="B78" s="213">
        <f>COUNTIF($P$43:$P$47, true)</f>
        <v>0</v>
      </c>
      <c r="C78" s="214" t="str">
        <f t="array" ref="C78:H82">$J$43:$O$47</f>
        <v/>
      </c>
      <c r="D78" s="214"/>
      <c r="E78" s="214"/>
      <c r="F78" s="214"/>
      <c r="G78" s="214"/>
      <c r="H78" s="214"/>
      <c r="I78" s="214"/>
      <c r="J78" s="214"/>
      <c r="K78" s="214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  <c r="AD78" s="121"/>
      <c r="AE78" s="121"/>
      <c r="AF78" s="121"/>
      <c r="AG78" s="121"/>
      <c r="AH78" s="121"/>
      <c r="AI78" s="121"/>
      <c r="AJ78" s="121"/>
      <c r="AK78" s="121"/>
      <c r="AL78" s="121"/>
      <c r="AM78" s="121"/>
      <c r="AN78" s="121"/>
    </row>
    <row r="79" ht="17.25" hidden="1" customHeight="1">
      <c r="A79" s="121"/>
      <c r="B79" s="214"/>
      <c r="C79" s="214"/>
      <c r="D79" s="214"/>
      <c r="E79" s="214"/>
      <c r="F79" s="214"/>
      <c r="G79" s="214"/>
      <c r="H79" s="214"/>
      <c r="I79" s="214"/>
      <c r="J79" s="214"/>
      <c r="K79" s="214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  <c r="AC79" s="121"/>
      <c r="AD79" s="121"/>
      <c r="AE79" s="121"/>
      <c r="AF79" s="121"/>
      <c r="AG79" s="121"/>
      <c r="AH79" s="121"/>
      <c r="AI79" s="121"/>
      <c r="AJ79" s="121"/>
      <c r="AK79" s="121"/>
      <c r="AL79" s="121"/>
      <c r="AM79" s="121"/>
      <c r="AN79" s="121"/>
    </row>
    <row r="80" ht="17.25" hidden="1" customHeight="1">
      <c r="A80" s="121"/>
      <c r="B80" s="214"/>
      <c r="C80" s="214"/>
      <c r="D80" s="214"/>
      <c r="E80" s="214"/>
      <c r="F80" s="214"/>
      <c r="G80" s="214"/>
      <c r="H80" s="214"/>
      <c r="I80" s="214"/>
      <c r="J80" s="214"/>
      <c r="K80" s="214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  <c r="AA80" s="121"/>
      <c r="AB80" s="121"/>
      <c r="AC80" s="121"/>
      <c r="AD80" s="121"/>
      <c r="AE80" s="121"/>
      <c r="AF80" s="121"/>
      <c r="AG80" s="121"/>
      <c r="AH80" s="121"/>
      <c r="AI80" s="121"/>
      <c r="AJ80" s="121"/>
      <c r="AK80" s="121"/>
      <c r="AL80" s="121"/>
      <c r="AM80" s="121"/>
      <c r="AN80" s="121"/>
    </row>
    <row r="81" ht="17.25" hidden="1" customHeight="1">
      <c r="A81" s="121"/>
      <c r="B81" s="214"/>
      <c r="C81" s="214"/>
      <c r="D81" s="214"/>
      <c r="E81" s="214"/>
      <c r="F81" s="214"/>
      <c r="G81" s="214"/>
      <c r="H81" s="214"/>
      <c r="I81" s="214"/>
      <c r="J81" s="214"/>
      <c r="K81" s="214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1"/>
      <c r="AG81" s="121"/>
      <c r="AH81" s="121"/>
      <c r="AI81" s="121"/>
      <c r="AJ81" s="121"/>
      <c r="AK81" s="121"/>
      <c r="AL81" s="121"/>
      <c r="AM81" s="121"/>
      <c r="AN81" s="121"/>
    </row>
    <row r="82" ht="17.25" hidden="1" customHeight="1">
      <c r="A82" s="121"/>
      <c r="B82" s="214"/>
      <c r="C82" s="214"/>
      <c r="D82" s="214"/>
      <c r="E82" s="214"/>
      <c r="F82" s="214"/>
      <c r="G82" s="214"/>
      <c r="H82" s="214"/>
      <c r="I82" s="214"/>
      <c r="J82" s="214"/>
      <c r="K82" s="214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</row>
    <row r="83" ht="17.25" hidden="1" customHeight="1">
      <c r="A83" s="121"/>
      <c r="B83" s="214"/>
      <c r="C83" s="214"/>
      <c r="D83" s="214"/>
      <c r="E83" s="214"/>
      <c r="F83" s="214"/>
      <c r="G83" s="214"/>
      <c r="H83" s="214"/>
      <c r="I83" s="214"/>
      <c r="J83" s="214"/>
      <c r="K83" s="214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</row>
    <row r="84" ht="17.25" hidden="1" customHeight="1">
      <c r="A84" s="121"/>
      <c r="B84" s="214"/>
      <c r="C84" s="214"/>
      <c r="D84" s="214"/>
      <c r="E84" s="214"/>
      <c r="F84" s="214"/>
      <c r="G84" s="214"/>
      <c r="H84" s="214"/>
      <c r="I84" s="214"/>
      <c r="J84" s="214"/>
      <c r="K84" s="214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1"/>
      <c r="AE84" s="121"/>
      <c r="AF84" s="121"/>
      <c r="AG84" s="121"/>
      <c r="AH84" s="121"/>
      <c r="AI84" s="121"/>
      <c r="AJ84" s="121"/>
      <c r="AK84" s="121"/>
      <c r="AL84" s="121"/>
      <c r="AM84" s="121"/>
      <c r="AN84" s="121"/>
    </row>
    <row r="85" ht="17.25" hidden="1" customHeight="1">
      <c r="A85" s="121"/>
      <c r="B85" s="214"/>
      <c r="C85" s="214"/>
      <c r="D85" s="214"/>
      <c r="E85" s="214"/>
      <c r="F85" s="214"/>
      <c r="G85" s="214"/>
      <c r="H85" s="214"/>
      <c r="I85" s="214"/>
      <c r="J85" s="214"/>
      <c r="K85" s="214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1"/>
      <c r="AL85" s="121"/>
      <c r="AM85" s="121"/>
      <c r="AN85" s="121"/>
    </row>
    <row r="86" ht="17.25" hidden="1" customHeight="1">
      <c r="A86" s="121"/>
      <c r="B86" s="214"/>
      <c r="C86" s="214"/>
      <c r="D86" s="214"/>
      <c r="E86" s="214"/>
      <c r="F86" s="214"/>
      <c r="G86" s="214"/>
      <c r="H86" s="214"/>
      <c r="I86" s="214"/>
      <c r="J86" s="214"/>
      <c r="K86" s="214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</row>
    <row r="87" ht="17.25" hidden="1" customHeight="1">
      <c r="A87" s="121"/>
      <c r="B87" s="214"/>
      <c r="C87" s="214"/>
      <c r="D87" s="214"/>
      <c r="E87" s="214"/>
      <c r="F87" s="214"/>
      <c r="G87" s="214"/>
      <c r="H87" s="214"/>
      <c r="I87" s="214"/>
      <c r="J87" s="214"/>
      <c r="K87" s="214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</row>
    <row r="88" ht="17.25" hidden="1" customHeight="1">
      <c r="A88" s="121"/>
      <c r="B88" s="214"/>
      <c r="C88" s="214"/>
      <c r="D88" s="214"/>
      <c r="E88" s="214"/>
      <c r="F88" s="214"/>
      <c r="G88" s="214"/>
      <c r="H88" s="214"/>
      <c r="I88" s="214"/>
      <c r="J88" s="214"/>
      <c r="K88" s="214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</row>
    <row r="89" ht="17.25" hidden="1" customHeight="1">
      <c r="A89" s="121"/>
      <c r="B89" s="214"/>
      <c r="C89" s="214"/>
      <c r="D89" s="214"/>
      <c r="E89" s="214"/>
      <c r="F89" s="214"/>
      <c r="G89" s="214"/>
      <c r="H89" s="214"/>
      <c r="I89" s="214"/>
      <c r="J89" s="214"/>
      <c r="K89" s="214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</row>
    <row r="90" ht="17.25" hidden="1" customHeight="1">
      <c r="A90" s="121"/>
      <c r="B90" s="214"/>
      <c r="C90" s="214"/>
      <c r="D90" s="214"/>
      <c r="E90" s="214"/>
      <c r="F90" s="214"/>
      <c r="G90" s="214"/>
      <c r="H90" s="214"/>
      <c r="I90" s="214"/>
      <c r="J90" s="214"/>
      <c r="K90" s="214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</row>
    <row r="91" ht="17.25" hidden="1" customHeight="1">
      <c r="A91" s="121"/>
      <c r="B91" s="214"/>
      <c r="C91" s="214"/>
      <c r="D91" s="214"/>
      <c r="E91" s="214"/>
      <c r="F91" s="214"/>
      <c r="G91" s="214"/>
      <c r="H91" s="214"/>
      <c r="I91" s="214"/>
      <c r="J91" s="214"/>
      <c r="K91" s="214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</row>
    <row r="92" ht="17.25" hidden="1" customHeight="1">
      <c r="A92" s="121"/>
      <c r="B92" s="214"/>
      <c r="C92" s="214"/>
      <c r="D92" s="214"/>
      <c r="E92" s="214"/>
      <c r="F92" s="214"/>
      <c r="G92" s="214"/>
      <c r="H92" s="214"/>
      <c r="I92" s="214"/>
      <c r="J92" s="214"/>
      <c r="K92" s="214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</row>
    <row r="93" ht="17.25" hidden="1" customHeight="1">
      <c r="A93" s="121"/>
      <c r="B93" s="214"/>
      <c r="C93" s="214"/>
      <c r="D93" s="214"/>
      <c r="E93" s="214"/>
      <c r="F93" s="214"/>
      <c r="G93" s="214"/>
      <c r="H93" s="214"/>
      <c r="I93" s="214"/>
      <c r="J93" s="214"/>
      <c r="K93" s="214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</row>
    <row r="94" ht="17.25" hidden="1" customHeight="1">
      <c r="A94" s="121"/>
      <c r="B94" s="213">
        <f>COUNTIF($W$43:$W$47, true)</f>
        <v>0</v>
      </c>
      <c r="C94" s="214" t="str">
        <f t="array" ref="C94:H98">$Q$43:$V$47</f>
        <v/>
      </c>
      <c r="D94" s="214"/>
      <c r="E94" s="214"/>
      <c r="F94" s="214"/>
      <c r="G94" s="214"/>
      <c r="H94" s="214"/>
      <c r="I94" s="214"/>
      <c r="J94" s="214"/>
      <c r="K94" s="214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</row>
    <row r="95" ht="17.25" hidden="1" customHeight="1">
      <c r="A95" s="121"/>
      <c r="B95" s="214"/>
      <c r="C95" s="214"/>
      <c r="D95" s="214"/>
      <c r="E95" s="214"/>
      <c r="F95" s="214"/>
      <c r="G95" s="214"/>
      <c r="H95" s="214"/>
      <c r="I95" s="214"/>
      <c r="J95" s="214"/>
      <c r="K95" s="214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</row>
    <row r="96" ht="17.25" hidden="1" customHeight="1">
      <c r="A96" s="121"/>
      <c r="B96" s="214"/>
      <c r="C96" s="214"/>
      <c r="D96" s="214"/>
      <c r="E96" s="214"/>
      <c r="F96" s="214"/>
      <c r="G96" s="214"/>
      <c r="H96" s="214"/>
      <c r="I96" s="214"/>
      <c r="J96" s="214"/>
      <c r="K96" s="214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1"/>
      <c r="AH96" s="121"/>
      <c r="AI96" s="121"/>
      <c r="AJ96" s="121"/>
      <c r="AK96" s="121"/>
      <c r="AL96" s="121"/>
      <c r="AM96" s="121"/>
      <c r="AN96" s="121"/>
    </row>
    <row r="97" ht="17.25" hidden="1" customHeight="1">
      <c r="A97" s="121"/>
      <c r="B97" s="214"/>
      <c r="C97" s="214"/>
      <c r="D97" s="214"/>
      <c r="E97" s="214"/>
      <c r="F97" s="214"/>
      <c r="G97" s="214"/>
      <c r="H97" s="214"/>
      <c r="I97" s="214"/>
      <c r="J97" s="214"/>
      <c r="K97" s="214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  <c r="AA97" s="121"/>
      <c r="AB97" s="121"/>
      <c r="AC97" s="121"/>
      <c r="AD97" s="121"/>
      <c r="AE97" s="121"/>
      <c r="AF97" s="121"/>
      <c r="AG97" s="121"/>
      <c r="AH97" s="121"/>
      <c r="AI97" s="121"/>
      <c r="AJ97" s="121"/>
      <c r="AK97" s="121"/>
      <c r="AL97" s="121"/>
      <c r="AM97" s="121"/>
      <c r="AN97" s="121"/>
    </row>
    <row r="98" ht="17.25" hidden="1" customHeight="1">
      <c r="A98" s="121"/>
      <c r="B98" s="214"/>
      <c r="C98" s="214"/>
      <c r="D98" s="214"/>
      <c r="E98" s="214"/>
      <c r="F98" s="214"/>
      <c r="G98" s="214"/>
      <c r="H98" s="214"/>
      <c r="I98" s="214"/>
      <c r="J98" s="214"/>
      <c r="K98" s="214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1"/>
      <c r="AH98" s="121"/>
      <c r="AI98" s="121"/>
      <c r="AJ98" s="121"/>
      <c r="AK98" s="121"/>
      <c r="AL98" s="121"/>
      <c r="AM98" s="121"/>
      <c r="AN98" s="121"/>
    </row>
    <row r="99" ht="17.25" hidden="1" customHeight="1">
      <c r="A99" s="121"/>
      <c r="B99" s="214"/>
      <c r="C99" s="214"/>
      <c r="D99" s="214"/>
      <c r="E99" s="214"/>
      <c r="F99" s="214"/>
      <c r="G99" s="214"/>
      <c r="H99" s="214"/>
      <c r="I99" s="214"/>
      <c r="J99" s="214"/>
      <c r="K99" s="214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  <c r="AA99" s="121"/>
      <c r="AB99" s="121"/>
      <c r="AC99" s="121"/>
      <c r="AD99" s="121"/>
      <c r="AE99" s="121"/>
      <c r="AF99" s="121"/>
      <c r="AG99" s="121"/>
      <c r="AH99" s="121"/>
      <c r="AI99" s="121"/>
      <c r="AJ99" s="121"/>
      <c r="AK99" s="121"/>
      <c r="AL99" s="121"/>
      <c r="AM99" s="121"/>
      <c r="AN99" s="121"/>
    </row>
    <row r="100" ht="17.25" hidden="1" customHeight="1">
      <c r="A100" s="121"/>
      <c r="B100" s="214"/>
      <c r="C100" s="214"/>
      <c r="D100" s="214"/>
      <c r="E100" s="214"/>
      <c r="F100" s="214"/>
      <c r="G100" s="214"/>
      <c r="H100" s="214"/>
      <c r="I100" s="214"/>
      <c r="J100" s="214"/>
      <c r="K100" s="214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  <c r="AA100" s="121"/>
      <c r="AB100" s="121"/>
      <c r="AC100" s="121"/>
      <c r="AD100" s="121"/>
      <c r="AE100" s="121"/>
      <c r="AF100" s="121"/>
      <c r="AG100" s="121"/>
      <c r="AH100" s="121"/>
      <c r="AI100" s="121"/>
      <c r="AJ100" s="121"/>
      <c r="AK100" s="121"/>
      <c r="AL100" s="121"/>
      <c r="AM100" s="121"/>
      <c r="AN100" s="121"/>
    </row>
    <row r="101" ht="17.25" hidden="1" customHeight="1">
      <c r="A101" s="121"/>
      <c r="B101" s="214"/>
      <c r="C101" s="214"/>
      <c r="D101" s="214"/>
      <c r="E101" s="214"/>
      <c r="F101" s="214"/>
      <c r="G101" s="214"/>
      <c r="H101" s="214"/>
      <c r="I101" s="214"/>
      <c r="J101" s="214"/>
      <c r="K101" s="214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  <c r="AA101" s="121"/>
      <c r="AB101" s="121"/>
      <c r="AC101" s="121"/>
      <c r="AD101" s="121"/>
      <c r="AE101" s="121"/>
      <c r="AF101" s="121"/>
      <c r="AG101" s="121"/>
      <c r="AH101" s="121"/>
      <c r="AI101" s="121"/>
      <c r="AJ101" s="121"/>
      <c r="AK101" s="121"/>
      <c r="AL101" s="121"/>
      <c r="AM101" s="121"/>
      <c r="AN101" s="121"/>
    </row>
    <row r="102" ht="17.25" hidden="1" customHeight="1">
      <c r="A102" s="121"/>
      <c r="B102" s="214"/>
      <c r="C102" s="214"/>
      <c r="D102" s="214"/>
      <c r="E102" s="214"/>
      <c r="F102" s="214"/>
      <c r="G102" s="214"/>
      <c r="H102" s="214"/>
      <c r="I102" s="214"/>
      <c r="J102" s="214"/>
      <c r="K102" s="214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  <c r="AA102" s="121"/>
      <c r="AB102" s="121"/>
      <c r="AC102" s="121"/>
      <c r="AD102" s="121"/>
      <c r="AE102" s="121"/>
      <c r="AF102" s="121"/>
      <c r="AG102" s="121"/>
      <c r="AH102" s="121"/>
      <c r="AI102" s="121"/>
      <c r="AJ102" s="121"/>
      <c r="AK102" s="121"/>
      <c r="AL102" s="121"/>
      <c r="AM102" s="121"/>
      <c r="AN102" s="121"/>
    </row>
    <row r="103" ht="17.25" hidden="1" customHeight="1">
      <c r="A103" s="121"/>
      <c r="B103" s="214"/>
      <c r="C103" s="214"/>
      <c r="D103" s="214"/>
      <c r="E103" s="214"/>
      <c r="F103" s="214"/>
      <c r="G103" s="214"/>
      <c r="H103" s="214"/>
      <c r="I103" s="214"/>
      <c r="J103" s="214"/>
      <c r="K103" s="214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  <c r="AA103" s="121"/>
      <c r="AB103" s="121"/>
      <c r="AC103" s="121"/>
      <c r="AD103" s="121"/>
      <c r="AE103" s="121"/>
      <c r="AF103" s="121"/>
      <c r="AG103" s="121"/>
      <c r="AH103" s="121"/>
      <c r="AI103" s="121"/>
      <c r="AJ103" s="121"/>
      <c r="AK103" s="121"/>
      <c r="AL103" s="121"/>
      <c r="AM103" s="121"/>
      <c r="AN103" s="121"/>
    </row>
    <row r="104" ht="17.25" hidden="1" customHeight="1">
      <c r="A104" s="121"/>
      <c r="B104" s="214"/>
      <c r="C104" s="214"/>
      <c r="D104" s="214"/>
      <c r="E104" s="214"/>
      <c r="F104" s="214"/>
      <c r="G104" s="214"/>
      <c r="H104" s="214"/>
      <c r="I104" s="214"/>
      <c r="J104" s="214"/>
      <c r="K104" s="214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  <c r="AA104" s="121"/>
      <c r="AB104" s="121"/>
      <c r="AC104" s="121"/>
      <c r="AD104" s="121"/>
      <c r="AE104" s="121"/>
      <c r="AF104" s="121"/>
      <c r="AG104" s="121"/>
      <c r="AH104" s="121"/>
      <c r="AI104" s="121"/>
      <c r="AJ104" s="121"/>
      <c r="AK104" s="121"/>
      <c r="AL104" s="121"/>
      <c r="AM104" s="121"/>
      <c r="AN104" s="121"/>
    </row>
    <row r="105" ht="17.25" hidden="1" customHeight="1">
      <c r="A105" s="121"/>
      <c r="B105" s="214"/>
      <c r="C105" s="214"/>
      <c r="D105" s="214"/>
      <c r="E105" s="214"/>
      <c r="F105" s="214"/>
      <c r="G105" s="214"/>
      <c r="H105" s="214"/>
      <c r="I105" s="214"/>
      <c r="J105" s="214"/>
      <c r="K105" s="214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  <c r="AA105" s="121"/>
      <c r="AB105" s="121"/>
      <c r="AC105" s="121"/>
      <c r="AD105" s="121"/>
      <c r="AE105" s="121"/>
      <c r="AF105" s="121"/>
      <c r="AG105" s="121"/>
      <c r="AH105" s="121"/>
      <c r="AI105" s="121"/>
      <c r="AJ105" s="121"/>
      <c r="AK105" s="121"/>
      <c r="AL105" s="121"/>
      <c r="AM105" s="121"/>
      <c r="AN105" s="121"/>
    </row>
    <row r="106" ht="17.25" hidden="1" customHeight="1">
      <c r="A106" s="121"/>
      <c r="B106" s="214"/>
      <c r="C106" s="214"/>
      <c r="D106" s="214"/>
      <c r="E106" s="214"/>
      <c r="F106" s="214"/>
      <c r="G106" s="214"/>
      <c r="H106" s="214"/>
      <c r="I106" s="214"/>
      <c r="J106" s="214"/>
      <c r="K106" s="214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  <c r="AA106" s="121"/>
      <c r="AB106" s="121"/>
      <c r="AC106" s="121"/>
      <c r="AD106" s="121"/>
      <c r="AE106" s="121"/>
      <c r="AF106" s="121"/>
      <c r="AG106" s="121"/>
      <c r="AH106" s="121"/>
      <c r="AI106" s="121"/>
      <c r="AJ106" s="121"/>
      <c r="AK106" s="121"/>
      <c r="AL106" s="121"/>
      <c r="AM106" s="121"/>
      <c r="AN106" s="121"/>
    </row>
    <row r="107" ht="17.25" hidden="1" customHeight="1">
      <c r="A107" s="121"/>
      <c r="B107" s="214"/>
      <c r="C107" s="214"/>
      <c r="D107" s="214"/>
      <c r="E107" s="214"/>
      <c r="F107" s="214"/>
      <c r="G107" s="214"/>
      <c r="H107" s="214"/>
      <c r="I107" s="214"/>
      <c r="J107" s="214"/>
      <c r="K107" s="214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  <c r="AA107" s="121"/>
      <c r="AB107" s="121"/>
      <c r="AC107" s="121"/>
      <c r="AD107" s="121"/>
      <c r="AE107" s="121"/>
      <c r="AF107" s="121"/>
      <c r="AG107" s="121"/>
      <c r="AH107" s="121"/>
      <c r="AI107" s="121"/>
      <c r="AJ107" s="121"/>
      <c r="AK107" s="121"/>
      <c r="AL107" s="121"/>
      <c r="AM107" s="121"/>
      <c r="AN107" s="121"/>
    </row>
    <row r="108" ht="17.25" hidden="1" customHeight="1">
      <c r="A108" s="121"/>
      <c r="B108" s="214"/>
      <c r="C108" s="214"/>
      <c r="D108" s="214"/>
      <c r="E108" s="214"/>
      <c r="F108" s="214"/>
      <c r="G108" s="214"/>
      <c r="H108" s="214"/>
      <c r="I108" s="214"/>
      <c r="J108" s="214"/>
      <c r="K108" s="214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  <c r="AA108" s="121"/>
      <c r="AB108" s="121"/>
      <c r="AC108" s="121"/>
      <c r="AD108" s="121"/>
      <c r="AE108" s="121"/>
      <c r="AF108" s="121"/>
      <c r="AG108" s="121"/>
      <c r="AH108" s="121"/>
      <c r="AI108" s="121"/>
      <c r="AJ108" s="121"/>
      <c r="AK108" s="121"/>
      <c r="AL108" s="121"/>
      <c r="AM108" s="121"/>
      <c r="AN108" s="121"/>
    </row>
    <row r="109" ht="17.25" hidden="1" customHeight="1">
      <c r="A109" s="121"/>
      <c r="B109" s="214"/>
      <c r="C109" s="214"/>
      <c r="D109" s="214"/>
      <c r="E109" s="214"/>
      <c r="F109" s="214"/>
      <c r="G109" s="214"/>
      <c r="H109" s="214"/>
      <c r="I109" s="214"/>
      <c r="J109" s="214"/>
      <c r="K109" s="214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  <c r="AA109" s="121"/>
      <c r="AB109" s="121"/>
      <c r="AC109" s="121"/>
      <c r="AD109" s="121"/>
      <c r="AE109" s="121"/>
      <c r="AF109" s="121"/>
      <c r="AG109" s="121"/>
      <c r="AH109" s="121"/>
      <c r="AI109" s="121"/>
      <c r="AJ109" s="121"/>
      <c r="AK109" s="121"/>
      <c r="AL109" s="121"/>
      <c r="AM109" s="121"/>
      <c r="AN109" s="121"/>
    </row>
    <row r="110" ht="17.25" hidden="1" customHeight="1">
      <c r="A110" s="121"/>
      <c r="B110" s="213">
        <f>COUNTIF($AD$43:$AD$47, true)</f>
        <v>0</v>
      </c>
      <c r="C110" s="214" t="str">
        <f t="array" ref="C110:H114">$X$43:$AC$47</f>
        <v/>
      </c>
      <c r="D110" s="214"/>
      <c r="E110" s="214"/>
      <c r="F110" s="214"/>
      <c r="G110" s="214"/>
      <c r="H110" s="214"/>
      <c r="I110" s="214"/>
      <c r="J110" s="214"/>
      <c r="K110" s="214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121"/>
      <c r="AK110" s="121"/>
      <c r="AL110" s="121"/>
      <c r="AM110" s="121"/>
      <c r="AN110" s="121"/>
    </row>
    <row r="111" ht="17.25" hidden="1" customHeight="1">
      <c r="A111" s="121"/>
      <c r="B111" s="214"/>
      <c r="C111" s="214"/>
      <c r="D111" s="214"/>
      <c r="E111" s="214"/>
      <c r="F111" s="214"/>
      <c r="G111" s="214"/>
      <c r="H111" s="214"/>
      <c r="I111" s="214"/>
      <c r="J111" s="214"/>
      <c r="K111" s="214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  <c r="AA111" s="121"/>
      <c r="AB111" s="121"/>
      <c r="AC111" s="121"/>
      <c r="AD111" s="121"/>
      <c r="AE111" s="121"/>
      <c r="AF111" s="121"/>
      <c r="AG111" s="121"/>
      <c r="AH111" s="121"/>
      <c r="AI111" s="121"/>
      <c r="AJ111" s="121"/>
      <c r="AK111" s="121"/>
      <c r="AL111" s="121"/>
      <c r="AM111" s="121"/>
      <c r="AN111" s="121"/>
    </row>
    <row r="112" ht="17.25" hidden="1" customHeight="1">
      <c r="A112" s="121"/>
      <c r="B112" s="214"/>
      <c r="C112" s="214"/>
      <c r="D112" s="214"/>
      <c r="E112" s="214"/>
      <c r="F112" s="214"/>
      <c r="G112" s="214"/>
      <c r="H112" s="214"/>
      <c r="I112" s="214"/>
      <c r="J112" s="214"/>
      <c r="K112" s="214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  <c r="AA112" s="121"/>
      <c r="AB112" s="121"/>
      <c r="AC112" s="121"/>
      <c r="AD112" s="121"/>
      <c r="AE112" s="121"/>
      <c r="AF112" s="121"/>
      <c r="AG112" s="121"/>
      <c r="AH112" s="121"/>
      <c r="AI112" s="121"/>
      <c r="AJ112" s="121"/>
      <c r="AK112" s="121"/>
      <c r="AL112" s="121"/>
      <c r="AM112" s="121"/>
      <c r="AN112" s="121"/>
    </row>
    <row r="113" ht="17.25" hidden="1" customHeight="1">
      <c r="A113" s="121"/>
      <c r="B113" s="214"/>
      <c r="C113" s="214"/>
      <c r="D113" s="214"/>
      <c r="E113" s="214"/>
      <c r="F113" s="214"/>
      <c r="G113" s="214"/>
      <c r="H113" s="214"/>
      <c r="I113" s="214"/>
      <c r="J113" s="214"/>
      <c r="K113" s="214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  <c r="AA113" s="121"/>
      <c r="AB113" s="121"/>
      <c r="AC113" s="121"/>
      <c r="AD113" s="121"/>
      <c r="AE113" s="121"/>
      <c r="AF113" s="121"/>
      <c r="AG113" s="121"/>
      <c r="AH113" s="121"/>
      <c r="AI113" s="121"/>
      <c r="AJ113" s="121"/>
      <c r="AK113" s="121"/>
      <c r="AL113" s="121"/>
      <c r="AM113" s="121"/>
      <c r="AN113" s="121"/>
    </row>
    <row r="114" ht="17.25" hidden="1" customHeight="1">
      <c r="A114" s="121"/>
      <c r="B114" s="214"/>
      <c r="C114" s="214"/>
      <c r="D114" s="214"/>
      <c r="E114" s="214"/>
      <c r="F114" s="214"/>
      <c r="G114" s="214"/>
      <c r="H114" s="214"/>
      <c r="I114" s="214"/>
      <c r="J114" s="214"/>
      <c r="K114" s="214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  <c r="AA114" s="121"/>
      <c r="AB114" s="121"/>
      <c r="AC114" s="121"/>
      <c r="AD114" s="121"/>
      <c r="AE114" s="121"/>
      <c r="AF114" s="121"/>
      <c r="AG114" s="121"/>
      <c r="AH114" s="121"/>
      <c r="AI114" s="121"/>
      <c r="AJ114" s="121"/>
      <c r="AK114" s="121"/>
      <c r="AL114" s="121"/>
      <c r="AM114" s="121"/>
      <c r="AN114" s="121"/>
    </row>
    <row r="115" ht="17.25" hidden="1" customHeight="1">
      <c r="A115" s="121"/>
      <c r="B115" s="214"/>
      <c r="C115" s="214"/>
      <c r="D115" s="214"/>
      <c r="E115" s="214"/>
      <c r="F115" s="214"/>
      <c r="G115" s="214"/>
      <c r="H115" s="214"/>
      <c r="I115" s="214"/>
      <c r="J115" s="214"/>
      <c r="K115" s="214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  <c r="AA115" s="121"/>
      <c r="AB115" s="121"/>
      <c r="AC115" s="121"/>
      <c r="AD115" s="121"/>
      <c r="AE115" s="121"/>
      <c r="AF115" s="121"/>
      <c r="AG115" s="121"/>
      <c r="AH115" s="121"/>
      <c r="AI115" s="121"/>
      <c r="AJ115" s="121"/>
      <c r="AK115" s="121"/>
      <c r="AL115" s="121"/>
      <c r="AM115" s="121"/>
      <c r="AN115" s="121"/>
    </row>
    <row r="116" ht="17.25" hidden="1" customHeight="1">
      <c r="A116" s="121"/>
      <c r="B116" s="214"/>
      <c r="C116" s="214"/>
      <c r="D116" s="214"/>
      <c r="E116" s="214"/>
      <c r="F116" s="214"/>
      <c r="G116" s="214"/>
      <c r="H116" s="214"/>
      <c r="I116" s="214"/>
      <c r="J116" s="214"/>
      <c r="K116" s="214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  <c r="AA116" s="121"/>
      <c r="AB116" s="121"/>
      <c r="AC116" s="121"/>
      <c r="AD116" s="121"/>
      <c r="AE116" s="121"/>
      <c r="AF116" s="121"/>
      <c r="AG116" s="121"/>
      <c r="AH116" s="121"/>
      <c r="AI116" s="121"/>
      <c r="AJ116" s="121"/>
      <c r="AK116" s="121"/>
      <c r="AL116" s="121"/>
      <c r="AM116" s="121"/>
      <c r="AN116" s="121"/>
    </row>
    <row r="117" ht="17.25" hidden="1" customHeight="1">
      <c r="A117" s="121"/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121"/>
      <c r="AF117" s="121"/>
      <c r="AG117" s="121"/>
      <c r="AH117" s="121"/>
      <c r="AI117" s="121"/>
      <c r="AJ117" s="121"/>
      <c r="AK117" s="121"/>
      <c r="AL117" s="121"/>
      <c r="AM117" s="121"/>
      <c r="AN117" s="121"/>
    </row>
    <row r="118" ht="17.25" hidden="1" customHeight="1">
      <c r="A118" s="121"/>
      <c r="B118" s="214"/>
      <c r="C118" s="214"/>
      <c r="D118" s="214"/>
      <c r="E118" s="214"/>
      <c r="F118" s="214"/>
      <c r="G118" s="214"/>
      <c r="H118" s="214"/>
      <c r="I118" s="214"/>
      <c r="J118" s="214"/>
      <c r="K118" s="214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  <c r="AA118" s="121"/>
      <c r="AB118" s="121"/>
      <c r="AC118" s="121"/>
      <c r="AD118" s="121"/>
      <c r="AE118" s="121"/>
      <c r="AF118" s="121"/>
      <c r="AG118" s="121"/>
      <c r="AH118" s="121"/>
      <c r="AI118" s="121"/>
      <c r="AJ118" s="121"/>
      <c r="AK118" s="121"/>
      <c r="AL118" s="121"/>
      <c r="AM118" s="121"/>
      <c r="AN118" s="121"/>
    </row>
    <row r="119" ht="17.25" hidden="1" customHeight="1">
      <c r="A119" s="121"/>
      <c r="B119" s="214"/>
      <c r="C119" s="214"/>
      <c r="D119" s="214"/>
      <c r="E119" s="214"/>
      <c r="F119" s="214"/>
      <c r="G119" s="214"/>
      <c r="H119" s="214"/>
      <c r="I119" s="214"/>
      <c r="J119" s="214"/>
      <c r="K119" s="214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  <c r="AA119" s="121"/>
      <c r="AB119" s="121"/>
      <c r="AC119" s="121"/>
      <c r="AD119" s="121"/>
      <c r="AE119" s="121"/>
      <c r="AF119" s="121"/>
      <c r="AG119" s="121"/>
      <c r="AH119" s="121"/>
      <c r="AI119" s="121"/>
      <c r="AJ119" s="121"/>
      <c r="AK119" s="121"/>
      <c r="AL119" s="121"/>
      <c r="AM119" s="121"/>
      <c r="AN119" s="121"/>
    </row>
    <row r="120" ht="17.25" hidden="1" customHeight="1">
      <c r="A120" s="121"/>
      <c r="B120" s="214"/>
      <c r="C120" s="214"/>
      <c r="D120" s="214"/>
      <c r="E120" s="214"/>
      <c r="F120" s="214"/>
      <c r="G120" s="214"/>
      <c r="H120" s="214"/>
      <c r="I120" s="214"/>
      <c r="J120" s="214"/>
      <c r="K120" s="214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</row>
    <row r="121" ht="17.25" hidden="1" customHeight="1">
      <c r="A121" s="121"/>
      <c r="B121" s="214"/>
      <c r="C121" s="214"/>
      <c r="D121" s="214"/>
      <c r="E121" s="214"/>
      <c r="F121" s="214"/>
      <c r="G121" s="214"/>
      <c r="H121" s="214"/>
      <c r="I121" s="214"/>
      <c r="J121" s="214"/>
      <c r="K121" s="214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</row>
    <row r="122" ht="17.25" hidden="1" customHeight="1">
      <c r="A122" s="121"/>
      <c r="B122" s="214"/>
      <c r="C122" s="214"/>
      <c r="D122" s="214"/>
      <c r="E122" s="214"/>
      <c r="F122" s="214"/>
      <c r="G122" s="214"/>
      <c r="H122" s="214"/>
      <c r="I122" s="214"/>
      <c r="J122" s="214"/>
      <c r="K122" s="214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  <c r="AA122" s="121"/>
      <c r="AB122" s="121"/>
      <c r="AC122" s="121"/>
      <c r="AD122" s="121"/>
      <c r="AE122" s="121"/>
      <c r="AF122" s="121"/>
      <c r="AG122" s="121"/>
      <c r="AH122" s="121"/>
      <c r="AI122" s="121"/>
      <c r="AJ122" s="121"/>
      <c r="AK122" s="121"/>
      <c r="AL122" s="121"/>
      <c r="AM122" s="121"/>
      <c r="AN122" s="121"/>
    </row>
    <row r="123" ht="17.25" hidden="1" customHeight="1">
      <c r="A123" s="121"/>
      <c r="B123" s="214"/>
      <c r="C123" s="214"/>
      <c r="D123" s="214"/>
      <c r="E123" s="214"/>
      <c r="F123" s="214"/>
      <c r="G123" s="214"/>
      <c r="H123" s="214"/>
      <c r="I123" s="214"/>
      <c r="J123" s="214"/>
      <c r="K123" s="214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1"/>
      <c r="AL123" s="121"/>
      <c r="AM123" s="121"/>
      <c r="AN123" s="121"/>
    </row>
    <row r="124" ht="17.25" hidden="1" customHeight="1">
      <c r="A124" s="121"/>
      <c r="B124" s="214"/>
      <c r="C124" s="214"/>
      <c r="D124" s="214"/>
      <c r="E124" s="214"/>
      <c r="F124" s="214"/>
      <c r="G124" s="214"/>
      <c r="H124" s="214"/>
      <c r="I124" s="214"/>
      <c r="J124" s="214"/>
      <c r="K124" s="214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</row>
    <row r="125" ht="17.25" hidden="1" customHeight="1">
      <c r="A125" s="121"/>
      <c r="B125" s="214"/>
      <c r="C125" s="214"/>
      <c r="D125" s="214"/>
      <c r="E125" s="214"/>
      <c r="F125" s="214"/>
      <c r="G125" s="214"/>
      <c r="H125" s="214"/>
      <c r="I125" s="214"/>
      <c r="J125" s="214"/>
      <c r="K125" s="214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</row>
    <row r="126" ht="17.25" hidden="1" customHeight="1">
      <c r="A126" s="121"/>
      <c r="B126" s="213">
        <f>COUNTIF($P$55:$P$59, true)</f>
        <v>0</v>
      </c>
      <c r="C126" s="214" t="str">
        <f t="array" ref="C126:O130">$C$55:$O$59</f>
        <v/>
      </c>
      <c r="D126" s="214"/>
      <c r="E126" s="214"/>
      <c r="F126" s="214"/>
      <c r="G126" s="214"/>
      <c r="H126" s="214"/>
      <c r="I126" s="214"/>
      <c r="J126" s="214"/>
      <c r="K126" s="214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</row>
    <row r="127" ht="17.25" hidden="1" customHeight="1">
      <c r="A127" s="121"/>
      <c r="B127" s="214"/>
      <c r="C127" s="214"/>
      <c r="D127" s="214"/>
      <c r="E127" s="214"/>
      <c r="F127" s="214"/>
      <c r="G127" s="214"/>
      <c r="H127" s="214"/>
      <c r="I127" s="214"/>
      <c r="J127" s="214"/>
      <c r="K127" s="214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</row>
    <row r="128" ht="17.25" hidden="1" customHeight="1">
      <c r="A128" s="121"/>
      <c r="B128" s="214"/>
      <c r="C128" s="214"/>
      <c r="D128" s="214"/>
      <c r="E128" s="214"/>
      <c r="F128" s="214"/>
      <c r="G128" s="214"/>
      <c r="H128" s="214"/>
      <c r="I128" s="214"/>
      <c r="J128" s="214"/>
      <c r="K128" s="214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</row>
    <row r="129" ht="17.25" hidden="1" customHeight="1">
      <c r="A129" s="121"/>
      <c r="B129" s="214"/>
      <c r="C129" s="214"/>
      <c r="D129" s="214"/>
      <c r="E129" s="214"/>
      <c r="F129" s="214"/>
      <c r="G129" s="214"/>
      <c r="H129" s="214"/>
      <c r="I129" s="214"/>
      <c r="J129" s="214"/>
      <c r="K129" s="214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</row>
    <row r="130" ht="17.25" hidden="1" customHeight="1">
      <c r="A130" s="121"/>
      <c r="B130" s="214"/>
      <c r="C130" s="214"/>
      <c r="D130" s="214"/>
      <c r="E130" s="214"/>
      <c r="F130" s="214"/>
      <c r="G130" s="214"/>
      <c r="H130" s="214"/>
      <c r="I130" s="214"/>
      <c r="J130" s="214"/>
      <c r="K130" s="214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</row>
    <row r="131" ht="17.25" hidden="1" customHeight="1">
      <c r="A131" s="121"/>
      <c r="B131" s="214"/>
      <c r="C131" s="214"/>
      <c r="D131" s="214"/>
      <c r="E131" s="214"/>
      <c r="F131" s="214"/>
      <c r="G131" s="214"/>
      <c r="H131" s="214"/>
      <c r="I131" s="214"/>
      <c r="J131" s="214"/>
      <c r="K131" s="214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</row>
    <row r="132" ht="17.25" hidden="1" customHeight="1">
      <c r="A132" s="121"/>
      <c r="B132" s="214"/>
      <c r="C132" s="214"/>
      <c r="D132" s="214"/>
      <c r="E132" s="214"/>
      <c r="F132" s="214"/>
      <c r="G132" s="214"/>
      <c r="H132" s="214"/>
      <c r="I132" s="214"/>
      <c r="J132" s="214"/>
      <c r="K132" s="214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</row>
    <row r="133" ht="17.25" hidden="1" customHeight="1">
      <c r="A133" s="121"/>
      <c r="B133" s="214"/>
      <c r="C133" s="214"/>
      <c r="D133" s="214"/>
      <c r="E133" s="214"/>
      <c r="F133" s="214"/>
      <c r="G133" s="214"/>
      <c r="H133" s="214"/>
      <c r="I133" s="214"/>
      <c r="J133" s="214"/>
      <c r="K133" s="214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</row>
    <row r="134" ht="17.25" hidden="1" customHeight="1">
      <c r="A134" s="121"/>
      <c r="B134" s="214"/>
      <c r="C134" s="214"/>
      <c r="D134" s="214"/>
      <c r="E134" s="214"/>
      <c r="F134" s="214"/>
      <c r="G134" s="214"/>
      <c r="H134" s="214"/>
      <c r="I134" s="214"/>
      <c r="J134" s="214"/>
      <c r="K134" s="214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  <c r="AA134" s="121"/>
      <c r="AB134" s="121"/>
      <c r="AC134" s="121"/>
      <c r="AD134" s="121"/>
      <c r="AE134" s="121"/>
      <c r="AF134" s="121"/>
      <c r="AG134" s="121"/>
      <c r="AH134" s="121"/>
      <c r="AI134" s="121"/>
      <c r="AJ134" s="121"/>
      <c r="AK134" s="121"/>
      <c r="AL134" s="121"/>
      <c r="AM134" s="121"/>
      <c r="AN134" s="121"/>
    </row>
    <row r="135" ht="17.25" hidden="1" customHeight="1">
      <c r="A135" s="121"/>
      <c r="B135" s="214"/>
      <c r="C135" s="214"/>
      <c r="D135" s="214"/>
      <c r="E135" s="214"/>
      <c r="F135" s="214"/>
      <c r="G135" s="214"/>
      <c r="H135" s="214"/>
      <c r="I135" s="214"/>
      <c r="J135" s="214"/>
      <c r="K135" s="214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  <c r="AA135" s="121"/>
      <c r="AB135" s="121"/>
      <c r="AC135" s="121"/>
      <c r="AD135" s="121"/>
      <c r="AE135" s="121"/>
      <c r="AF135" s="121"/>
      <c r="AG135" s="121"/>
      <c r="AH135" s="121"/>
      <c r="AI135" s="121"/>
      <c r="AJ135" s="121"/>
      <c r="AK135" s="121"/>
      <c r="AL135" s="121"/>
      <c r="AM135" s="121"/>
      <c r="AN135" s="121"/>
    </row>
    <row r="136" ht="17.25" hidden="1" customHeight="1">
      <c r="A136" s="121"/>
      <c r="B136" s="214"/>
      <c r="C136" s="214"/>
      <c r="D136" s="214"/>
      <c r="E136" s="214"/>
      <c r="F136" s="214"/>
      <c r="G136" s="214"/>
      <c r="H136" s="214"/>
      <c r="I136" s="214"/>
      <c r="J136" s="214"/>
      <c r="K136" s="214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  <c r="AA136" s="121"/>
      <c r="AB136" s="121"/>
      <c r="AC136" s="121"/>
      <c r="AD136" s="121"/>
      <c r="AE136" s="121"/>
      <c r="AF136" s="121"/>
      <c r="AG136" s="121"/>
      <c r="AH136" s="121"/>
      <c r="AI136" s="121"/>
      <c r="AJ136" s="121"/>
      <c r="AK136" s="121"/>
      <c r="AL136" s="121"/>
      <c r="AM136" s="121"/>
      <c r="AN136" s="121"/>
    </row>
    <row r="137" ht="17.25" hidden="1" customHeight="1">
      <c r="A137" s="121"/>
      <c r="B137" s="214"/>
      <c r="C137" s="214"/>
      <c r="D137" s="214"/>
      <c r="E137" s="214"/>
      <c r="F137" s="214"/>
      <c r="G137" s="214"/>
      <c r="H137" s="214"/>
      <c r="I137" s="214"/>
      <c r="J137" s="214"/>
      <c r="K137" s="214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  <c r="AA137" s="121"/>
      <c r="AB137" s="121"/>
      <c r="AC137" s="121"/>
      <c r="AD137" s="121"/>
      <c r="AE137" s="121"/>
      <c r="AF137" s="121"/>
      <c r="AG137" s="121"/>
      <c r="AH137" s="121"/>
      <c r="AI137" s="121"/>
      <c r="AJ137" s="121"/>
      <c r="AK137" s="121"/>
      <c r="AL137" s="121"/>
      <c r="AM137" s="121"/>
      <c r="AN137" s="121"/>
    </row>
    <row r="138" ht="17.25" hidden="1" customHeight="1">
      <c r="A138" s="121"/>
      <c r="B138" s="214"/>
      <c r="C138" s="214"/>
      <c r="D138" s="214"/>
      <c r="E138" s="214"/>
      <c r="F138" s="214"/>
      <c r="G138" s="214"/>
      <c r="H138" s="214"/>
      <c r="I138" s="214"/>
      <c r="J138" s="214"/>
      <c r="K138" s="214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21"/>
      <c r="AH138" s="121"/>
      <c r="AI138" s="121"/>
      <c r="AJ138" s="121"/>
      <c r="AK138" s="121"/>
      <c r="AL138" s="121"/>
      <c r="AM138" s="121"/>
      <c r="AN138" s="121"/>
    </row>
    <row r="139" ht="17.25" hidden="1" customHeight="1">
      <c r="A139" s="121"/>
      <c r="B139" s="214"/>
      <c r="C139" s="214"/>
      <c r="D139" s="214"/>
      <c r="E139" s="214"/>
      <c r="F139" s="214"/>
      <c r="G139" s="214"/>
      <c r="H139" s="214"/>
      <c r="I139" s="214"/>
      <c r="J139" s="214"/>
      <c r="K139" s="214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  <c r="AA139" s="121"/>
      <c r="AB139" s="121"/>
      <c r="AC139" s="121"/>
      <c r="AD139" s="121"/>
      <c r="AE139" s="121"/>
      <c r="AF139" s="121"/>
      <c r="AG139" s="121"/>
      <c r="AH139" s="121"/>
      <c r="AI139" s="121"/>
      <c r="AJ139" s="121"/>
      <c r="AK139" s="121"/>
      <c r="AL139" s="121"/>
      <c r="AM139" s="121"/>
      <c r="AN139" s="121"/>
    </row>
    <row r="140" ht="17.25" hidden="1" customHeight="1">
      <c r="A140" s="121"/>
      <c r="B140" s="214"/>
      <c r="C140" s="214"/>
      <c r="D140" s="214"/>
      <c r="E140" s="214"/>
      <c r="F140" s="214"/>
      <c r="G140" s="214"/>
      <c r="H140" s="214"/>
      <c r="I140" s="214"/>
      <c r="J140" s="214"/>
      <c r="K140" s="214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  <c r="AA140" s="121"/>
      <c r="AB140" s="121"/>
      <c r="AC140" s="121"/>
      <c r="AD140" s="121"/>
      <c r="AE140" s="121"/>
      <c r="AF140" s="121"/>
      <c r="AG140" s="121"/>
      <c r="AH140" s="121"/>
      <c r="AI140" s="121"/>
      <c r="AJ140" s="121"/>
      <c r="AK140" s="121"/>
      <c r="AL140" s="121"/>
      <c r="AM140" s="121"/>
      <c r="AN140" s="121"/>
    </row>
  </sheetData>
  <mergeCells count="86">
    <mergeCell ref="AI38:AM38"/>
    <mergeCell ref="AI39:AM39"/>
    <mergeCell ref="B42:B43"/>
    <mergeCell ref="C42:H42"/>
    <mergeCell ref="Q42:V42"/>
    <mergeCell ref="C43:H43"/>
    <mergeCell ref="Q43:V43"/>
    <mergeCell ref="J42:O42"/>
    <mergeCell ref="J43:O43"/>
    <mergeCell ref="C44:H44"/>
    <mergeCell ref="J44:O44"/>
    <mergeCell ref="Q44:V44"/>
    <mergeCell ref="J45:O45"/>
    <mergeCell ref="Q45:V45"/>
    <mergeCell ref="C47:H47"/>
    <mergeCell ref="C49:I49"/>
    <mergeCell ref="B49:B51"/>
    <mergeCell ref="C51:I51"/>
    <mergeCell ref="C52:H52"/>
    <mergeCell ref="B54:B55"/>
    <mergeCell ref="C45:H45"/>
    <mergeCell ref="C46:H46"/>
    <mergeCell ref="J46:O46"/>
    <mergeCell ref="Q46:V46"/>
    <mergeCell ref="J47:O47"/>
    <mergeCell ref="Q47:V47"/>
    <mergeCell ref="Q50:W50"/>
    <mergeCell ref="C55:O55"/>
    <mergeCell ref="C56:O56"/>
    <mergeCell ref="C57:O57"/>
    <mergeCell ref="C58:O58"/>
    <mergeCell ref="C59:O59"/>
    <mergeCell ref="C50:I50"/>
    <mergeCell ref="J50:P50"/>
    <mergeCell ref="J51:P51"/>
    <mergeCell ref="Q51:W51"/>
    <mergeCell ref="J52:O52"/>
    <mergeCell ref="Q52:V52"/>
    <mergeCell ref="C54:P54"/>
    <mergeCell ref="O3:T3"/>
    <mergeCell ref="O4:T4"/>
    <mergeCell ref="B7:B8"/>
    <mergeCell ref="C7:I7"/>
    <mergeCell ref="J7:P7"/>
    <mergeCell ref="Q7:W7"/>
    <mergeCell ref="B2:H2"/>
    <mergeCell ref="AG2:AM5"/>
    <mergeCell ref="B3:H4"/>
    <mergeCell ref="I3:M3"/>
    <mergeCell ref="V3:Z3"/>
    <mergeCell ref="I4:M4"/>
    <mergeCell ref="V4:Z4"/>
    <mergeCell ref="B5:H5"/>
    <mergeCell ref="AB3:AF3"/>
    <mergeCell ref="AB4:AF4"/>
    <mergeCell ref="X7:AD7"/>
    <mergeCell ref="AE7:AG7"/>
    <mergeCell ref="AI7:AJ8"/>
    <mergeCell ref="AK7:AM8"/>
    <mergeCell ref="AK10:AM10"/>
    <mergeCell ref="AK11:AM11"/>
    <mergeCell ref="AK12:AM12"/>
    <mergeCell ref="AK13:AM13"/>
    <mergeCell ref="AK14:AM14"/>
    <mergeCell ref="AK15:AM15"/>
    <mergeCell ref="AK16:AM16"/>
    <mergeCell ref="AK17:AM17"/>
    <mergeCell ref="AK18:AM18"/>
    <mergeCell ref="AK19:AM19"/>
    <mergeCell ref="AK20:AM20"/>
    <mergeCell ref="AK21:AM21"/>
    <mergeCell ref="B36:AG36"/>
    <mergeCell ref="AI36:AM36"/>
    <mergeCell ref="AI37:AM37"/>
    <mergeCell ref="X42:AC42"/>
    <mergeCell ref="X43:AC43"/>
    <mergeCell ref="X44:AC44"/>
    <mergeCell ref="X45:AC45"/>
    <mergeCell ref="X46:AC46"/>
    <mergeCell ref="X47:AC47"/>
    <mergeCell ref="J49:P49"/>
    <mergeCell ref="Q49:W49"/>
    <mergeCell ref="X49:AD49"/>
    <mergeCell ref="X50:AD50"/>
    <mergeCell ref="X51:AD51"/>
    <mergeCell ref="X52:AC52"/>
  </mergeCells>
  <conditionalFormatting sqref="C23:AG23">
    <cfRule type="cellIs" dxfId="0" priority="1" operator="greaterThanOrEqual">
      <formula>"75%"</formula>
    </cfRule>
  </conditionalFormatting>
  <dataValidations>
    <dataValidation type="list" allowBlank="1" showErrorMessage="1" sqref="C37:AG39">
      <formula1>"10,9,8,7,6,5,4,3,2,1"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2" width="25.88"/>
    <col customWidth="1" min="3" max="19" width="4.25"/>
    <col customWidth="1" min="20" max="20" width="6.88"/>
    <col customWidth="1" min="21" max="33" width="4.25"/>
    <col customWidth="1" min="34" max="40" width="4.75"/>
  </cols>
  <sheetData>
    <row r="1" ht="17.25" customHeight="1">
      <c r="A1" s="120"/>
      <c r="B1" s="121"/>
      <c r="C1" s="122"/>
      <c r="D1" s="120"/>
      <c r="E1" s="121"/>
      <c r="F1" s="121"/>
      <c r="G1" s="121"/>
      <c r="H1" s="121"/>
      <c r="I1" s="121"/>
      <c r="J1" s="121"/>
      <c r="K1" s="121"/>
      <c r="L1" s="121"/>
      <c r="M1" s="123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</row>
    <row r="2" ht="17.25" customHeight="1">
      <c r="A2" s="120"/>
      <c r="B2" s="124"/>
      <c r="C2" s="21"/>
      <c r="D2" s="21"/>
      <c r="E2" s="21"/>
      <c r="F2" s="21"/>
      <c r="G2" s="21"/>
      <c r="H2" s="21"/>
      <c r="I2" s="125"/>
      <c r="J2" s="125"/>
      <c r="K2" s="125"/>
      <c r="L2" s="125"/>
      <c r="M2" s="126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21"/>
      <c r="AI2" s="21"/>
      <c r="AJ2" s="21"/>
      <c r="AK2" s="21"/>
      <c r="AL2" s="21"/>
      <c r="AM2" s="42"/>
      <c r="AN2" s="121"/>
    </row>
    <row r="3" ht="17.25" customHeight="1">
      <c r="A3" s="120"/>
      <c r="B3" s="33" t="s">
        <v>35</v>
      </c>
      <c r="I3" s="29" t="s">
        <v>39</v>
      </c>
      <c r="N3" s="127"/>
      <c r="O3" s="29" t="s">
        <v>41</v>
      </c>
      <c r="U3" s="127"/>
      <c r="V3" s="29" t="s">
        <v>42</v>
      </c>
      <c r="AA3" s="127"/>
      <c r="AB3" s="29" t="s">
        <v>26</v>
      </c>
      <c r="AM3" s="105"/>
      <c r="AN3" s="121"/>
    </row>
    <row r="4" ht="17.25" customHeight="1">
      <c r="A4" s="120"/>
      <c r="B4" s="85"/>
      <c r="I4" s="128">
        <f>SUM(countA($B$10:$B$21),$I$62)</f>
        <v>0</v>
      </c>
      <c r="N4" s="129"/>
      <c r="O4" s="130">
        <f>SUM(COUNTIF($C$10:$AG$21, true),$J$62)</f>
        <v>0</v>
      </c>
      <c r="U4" s="129"/>
      <c r="V4" s="131" t="str">
        <f>IFERROR(__xludf.DUMMYFUNCTION("iferror(SPARKLINE($AB$4:$AF$4,{""charttype"",""bar"";""max"",1;""color1"",""#c9e4b2""}))"),"")</f>
        <v/>
      </c>
      <c r="AA4" s="129"/>
      <c r="AB4" s="132">
        <f>$O$4/SUM(COUNTA($C$10:$AG$21),$K$62)</f>
        <v>0</v>
      </c>
      <c r="AM4" s="105"/>
      <c r="AN4" s="121"/>
    </row>
    <row r="5" ht="17.25" customHeight="1">
      <c r="A5" s="120"/>
      <c r="B5" s="133"/>
      <c r="C5" s="37"/>
      <c r="D5" s="37"/>
      <c r="E5" s="37"/>
      <c r="F5" s="37"/>
      <c r="G5" s="37"/>
      <c r="H5" s="37"/>
      <c r="I5" s="134"/>
      <c r="J5" s="134"/>
      <c r="K5" s="134"/>
      <c r="L5" s="134"/>
      <c r="M5" s="135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4"/>
      <c r="AG5" s="37"/>
      <c r="AH5" s="37"/>
      <c r="AI5" s="37"/>
      <c r="AJ5" s="37"/>
      <c r="AK5" s="37"/>
      <c r="AL5" s="37"/>
      <c r="AM5" s="44"/>
      <c r="AN5" s="121"/>
    </row>
    <row r="6" ht="17.25" customHeight="1">
      <c r="A6" s="120"/>
      <c r="B6" s="121"/>
      <c r="C6" s="122"/>
      <c r="D6" s="120"/>
      <c r="E6" s="121"/>
      <c r="F6" s="121"/>
      <c r="G6" s="121"/>
      <c r="H6" s="121"/>
      <c r="I6" s="121"/>
      <c r="J6" s="121"/>
      <c r="K6" s="121"/>
      <c r="L6" s="121"/>
      <c r="M6" s="123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</row>
    <row r="7" ht="17.25" customHeight="1">
      <c r="A7" s="120"/>
      <c r="B7" s="136" t="s">
        <v>43</v>
      </c>
      <c r="C7" s="190" t="s">
        <v>44</v>
      </c>
      <c r="D7" s="46"/>
      <c r="E7" s="46"/>
      <c r="F7" s="46"/>
      <c r="G7" s="46"/>
      <c r="H7" s="46"/>
      <c r="I7" s="47"/>
      <c r="J7" s="216" t="s">
        <v>45</v>
      </c>
      <c r="K7" s="46"/>
      <c r="L7" s="46"/>
      <c r="M7" s="46"/>
      <c r="N7" s="46"/>
      <c r="O7" s="46"/>
      <c r="P7" s="47"/>
      <c r="Q7" s="217" t="s">
        <v>46</v>
      </c>
      <c r="R7" s="46"/>
      <c r="S7" s="46"/>
      <c r="T7" s="46"/>
      <c r="U7" s="46"/>
      <c r="V7" s="46"/>
      <c r="W7" s="47"/>
      <c r="X7" s="218" t="s">
        <v>47</v>
      </c>
      <c r="Y7" s="46"/>
      <c r="Z7" s="46"/>
      <c r="AA7" s="46"/>
      <c r="AB7" s="46"/>
      <c r="AC7" s="46"/>
      <c r="AD7" s="47"/>
      <c r="AE7" s="141"/>
      <c r="AF7" s="46"/>
      <c r="AG7" s="47"/>
      <c r="AH7" s="121"/>
      <c r="AI7" s="62" t="s">
        <v>48</v>
      </c>
      <c r="AJ7" s="42"/>
      <c r="AK7" s="62" t="s">
        <v>49</v>
      </c>
      <c r="AL7" s="21"/>
      <c r="AM7" s="42"/>
      <c r="AN7" s="121"/>
    </row>
    <row r="8" ht="17.25" customHeight="1">
      <c r="A8" s="121"/>
      <c r="B8" s="86"/>
      <c r="C8" s="143">
        <f>weekday(date(Dashboard!$Q$3,$AG$45,C9),1)</f>
        <v>2</v>
      </c>
      <c r="D8" s="143">
        <f>weekday(date(Dashboard!$Q$3,$AG$45,D9),1)</f>
        <v>3</v>
      </c>
      <c r="E8" s="143">
        <f>weekday(date(Dashboard!$Q$3,$AG$45,E9),1)</f>
        <v>4</v>
      </c>
      <c r="F8" s="143">
        <f>weekday(date(Dashboard!$Q$3,$AG$45,F9),1)</f>
        <v>5</v>
      </c>
      <c r="G8" s="143">
        <f>weekday(date(Dashboard!$Q$3,$AG$45,G9),1)</f>
        <v>6</v>
      </c>
      <c r="H8" s="143">
        <f>weekday(date(Dashboard!$Q$3,$AG$45,H9),1)</f>
        <v>7</v>
      </c>
      <c r="I8" s="143">
        <f>weekday(date(Dashboard!$Q$3,$AG$45,I9),1)</f>
        <v>1</v>
      </c>
      <c r="J8" s="144">
        <f>weekday(date(Dashboard!$Q$3,$AG$45,J9),1)</f>
        <v>2</v>
      </c>
      <c r="K8" s="144">
        <f>weekday(date(Dashboard!$Q$3,$AG$45,K9),1)</f>
        <v>3</v>
      </c>
      <c r="L8" s="144">
        <f>weekday(date(Dashboard!$Q$3,$AG$45,L9),1)</f>
        <v>4</v>
      </c>
      <c r="M8" s="144">
        <f>weekday(date(Dashboard!$Q$3,$AG$45,M9),1)</f>
        <v>5</v>
      </c>
      <c r="N8" s="144">
        <f>weekday(date(Dashboard!$Q$3,$AG$45,N9),1)</f>
        <v>6</v>
      </c>
      <c r="O8" s="144">
        <f>weekday(date(Dashboard!$Q$3,$AG$45,O9),1)</f>
        <v>7</v>
      </c>
      <c r="P8" s="144">
        <f>weekday(date(Dashboard!$Q$3,$AG$45,P9),1)</f>
        <v>1</v>
      </c>
      <c r="Q8" s="145">
        <f>weekday(date(Dashboard!$Q$3,$AG$45,Q9),1)</f>
        <v>2</v>
      </c>
      <c r="R8" s="145">
        <f>weekday(date(Dashboard!$Q$3,$AG$45,R9),1)</f>
        <v>3</v>
      </c>
      <c r="S8" s="145">
        <f>weekday(date(Dashboard!$Q$3,$AG$45,S9),1)</f>
        <v>4</v>
      </c>
      <c r="T8" s="145">
        <f>weekday(date(Dashboard!$Q$3,$AG$45,T9),1)</f>
        <v>5</v>
      </c>
      <c r="U8" s="145">
        <f>weekday(date(Dashboard!$Q$3,$AG$45,U9),1)</f>
        <v>6</v>
      </c>
      <c r="V8" s="145">
        <f>weekday(date(Dashboard!$Q$3,$AG$45,V9),1)</f>
        <v>7</v>
      </c>
      <c r="W8" s="145">
        <f>weekday(date(Dashboard!$Q$3,$AG$45,W9),1)</f>
        <v>1</v>
      </c>
      <c r="X8" s="146">
        <f>weekday(date(Dashboard!$Q$3,$AG$45,X9),1)</f>
        <v>2</v>
      </c>
      <c r="Y8" s="146">
        <f>weekday(date(Dashboard!$Q$3,$AG$45,Y9),1)</f>
        <v>3</v>
      </c>
      <c r="Z8" s="146">
        <f>weekday(date(Dashboard!$Q$3,$AG$45,Z9),1)</f>
        <v>4</v>
      </c>
      <c r="AA8" s="146">
        <f>weekday(date(Dashboard!$Q$3,$AG$45,AA9),1)</f>
        <v>5</v>
      </c>
      <c r="AB8" s="146">
        <f>weekday(date(Dashboard!$Q$3,$AG$45,AB9),1)</f>
        <v>6</v>
      </c>
      <c r="AC8" s="146">
        <f>weekday(date(Dashboard!$Q$3,$AG$45,AC9),1)</f>
        <v>7</v>
      </c>
      <c r="AD8" s="146">
        <f>weekday(date(Dashboard!$Q$3,$AG$45,AD9),1)</f>
        <v>1</v>
      </c>
      <c r="AE8" s="147">
        <f>weekday(date(Dashboard!$Q$3,$AG$45,AE9),1)</f>
        <v>2</v>
      </c>
      <c r="AF8" s="147">
        <f>weekday(date(Dashboard!$Q$3,$AG$45,AF9),1)</f>
        <v>3</v>
      </c>
      <c r="AG8" s="148">
        <f>weekday(date(Dashboard!$Q$3,$AG$45,AG9),1)</f>
        <v>4</v>
      </c>
      <c r="AH8" s="149"/>
      <c r="AI8" s="43"/>
      <c r="AJ8" s="44"/>
      <c r="AK8" s="43"/>
      <c r="AL8" s="37"/>
      <c r="AM8" s="44"/>
      <c r="AN8" s="149"/>
    </row>
    <row r="9" ht="17.25" customHeight="1">
      <c r="A9" s="121"/>
      <c r="B9" s="150">
        <f>TODAY()</f>
        <v>46025</v>
      </c>
      <c r="C9" s="151">
        <v>1.0</v>
      </c>
      <c r="D9" s="151">
        <v>2.0</v>
      </c>
      <c r="E9" s="151">
        <v>3.0</v>
      </c>
      <c r="F9" s="151">
        <v>4.0</v>
      </c>
      <c r="G9" s="151">
        <v>5.0</v>
      </c>
      <c r="H9" s="151">
        <v>6.0</v>
      </c>
      <c r="I9" s="151">
        <v>7.0</v>
      </c>
      <c r="J9" s="152">
        <v>8.0</v>
      </c>
      <c r="K9" s="152">
        <v>9.0</v>
      </c>
      <c r="L9" s="152">
        <v>10.0</v>
      </c>
      <c r="M9" s="152">
        <v>11.0</v>
      </c>
      <c r="N9" s="152">
        <v>12.0</v>
      </c>
      <c r="O9" s="152">
        <v>13.0</v>
      </c>
      <c r="P9" s="152">
        <v>14.0</v>
      </c>
      <c r="Q9" s="153">
        <v>15.0</v>
      </c>
      <c r="R9" s="153">
        <v>16.0</v>
      </c>
      <c r="S9" s="153">
        <v>17.0</v>
      </c>
      <c r="T9" s="153">
        <v>18.0</v>
      </c>
      <c r="U9" s="153">
        <v>19.0</v>
      </c>
      <c r="V9" s="153">
        <v>20.0</v>
      </c>
      <c r="W9" s="153">
        <v>21.0</v>
      </c>
      <c r="X9" s="154">
        <v>22.0</v>
      </c>
      <c r="Y9" s="154">
        <v>23.0</v>
      </c>
      <c r="Z9" s="154">
        <v>24.0</v>
      </c>
      <c r="AA9" s="154">
        <v>25.0</v>
      </c>
      <c r="AB9" s="154">
        <v>26.0</v>
      </c>
      <c r="AC9" s="154">
        <v>27.0</v>
      </c>
      <c r="AD9" s="154">
        <v>28.0</v>
      </c>
      <c r="AE9" s="155">
        <v>29.0</v>
      </c>
      <c r="AF9" s="155">
        <v>30.0</v>
      </c>
      <c r="AG9" s="155">
        <v>31.0</v>
      </c>
      <c r="AH9" s="149"/>
      <c r="AI9" s="156" t="s">
        <v>14</v>
      </c>
      <c r="AJ9" s="156" t="s">
        <v>50</v>
      </c>
      <c r="AK9" s="157"/>
      <c r="AL9" s="158"/>
      <c r="AM9" s="159"/>
      <c r="AN9" s="149"/>
    </row>
    <row r="10" ht="17.25" customHeight="1">
      <c r="A10" s="121"/>
      <c r="B10" s="160"/>
      <c r="C10" s="161" t="b">
        <v>0</v>
      </c>
      <c r="D10" s="162" t="b">
        <v>0</v>
      </c>
      <c r="E10" s="162" t="b">
        <v>0</v>
      </c>
      <c r="F10" s="162" t="b">
        <v>0</v>
      </c>
      <c r="G10" s="162" t="b">
        <v>0</v>
      </c>
      <c r="H10" s="162" t="b">
        <v>0</v>
      </c>
      <c r="I10" s="162" t="b">
        <v>0</v>
      </c>
      <c r="J10" s="163" t="b">
        <v>0</v>
      </c>
      <c r="K10" s="163" t="b">
        <v>0</v>
      </c>
      <c r="L10" s="163" t="b">
        <v>0</v>
      </c>
      <c r="M10" s="163" t="b">
        <v>0</v>
      </c>
      <c r="N10" s="163" t="b">
        <v>0</v>
      </c>
      <c r="O10" s="163" t="b">
        <v>0</v>
      </c>
      <c r="P10" s="163" t="b">
        <v>0</v>
      </c>
      <c r="Q10" s="164" t="b">
        <v>0</v>
      </c>
      <c r="R10" s="164" t="b">
        <v>0</v>
      </c>
      <c r="S10" s="164" t="b">
        <v>0</v>
      </c>
      <c r="T10" s="164" t="b">
        <v>0</v>
      </c>
      <c r="U10" s="164" t="b">
        <v>0</v>
      </c>
      <c r="V10" s="164" t="b">
        <v>0</v>
      </c>
      <c r="W10" s="164" t="b">
        <v>0</v>
      </c>
      <c r="X10" s="165" t="b">
        <v>0</v>
      </c>
      <c r="Y10" s="165" t="b">
        <v>0</v>
      </c>
      <c r="Z10" s="165" t="b">
        <v>0</v>
      </c>
      <c r="AA10" s="165" t="b">
        <v>0</v>
      </c>
      <c r="AB10" s="165" t="b">
        <v>0</v>
      </c>
      <c r="AC10" s="165" t="b">
        <v>0</v>
      </c>
      <c r="AD10" s="165" t="b">
        <v>0</v>
      </c>
      <c r="AE10" s="166" t="b">
        <v>0</v>
      </c>
      <c r="AF10" s="166" t="b">
        <v>0</v>
      </c>
      <c r="AG10" s="166" t="b">
        <v>0</v>
      </c>
      <c r="AH10" s="149"/>
      <c r="AI10" s="167"/>
      <c r="AJ10" s="168">
        <f t="array" ref="AJ10:AJ21">MMULT(N($C$10:$AG$21), TRANSPOSE(COLUMN($C$10:$AG$21)^0))
</f>
        <v>0</v>
      </c>
      <c r="AK10" s="169" t="str">
        <f>IFERROR(__xludf.DUMMYFUNCTION("iferror(SPARKLINE(AJ10/AI10,{""charttype"",""bar"";""max"",1;""color1"",""#c9e4b2""}))"),"")</f>
        <v/>
      </c>
      <c r="AL10" s="46"/>
      <c r="AM10" s="47"/>
      <c r="AN10" s="170"/>
    </row>
    <row r="11" ht="17.25" customHeight="1">
      <c r="A11" s="121"/>
      <c r="B11" s="160"/>
      <c r="C11" s="161" t="b">
        <v>0</v>
      </c>
      <c r="D11" s="162" t="b">
        <v>0</v>
      </c>
      <c r="E11" s="162" t="b">
        <v>0</v>
      </c>
      <c r="F11" s="162" t="b">
        <v>0</v>
      </c>
      <c r="G11" s="162" t="b">
        <v>0</v>
      </c>
      <c r="H11" s="162" t="b">
        <v>0</v>
      </c>
      <c r="I11" s="162" t="b">
        <v>0</v>
      </c>
      <c r="J11" s="163" t="b">
        <v>0</v>
      </c>
      <c r="K11" s="163" t="b">
        <v>0</v>
      </c>
      <c r="L11" s="163" t="b">
        <v>0</v>
      </c>
      <c r="M11" s="163" t="b">
        <v>0</v>
      </c>
      <c r="N11" s="163" t="b">
        <v>0</v>
      </c>
      <c r="O11" s="163" t="b">
        <v>0</v>
      </c>
      <c r="P11" s="163" t="b">
        <v>0</v>
      </c>
      <c r="Q11" s="164" t="b">
        <v>0</v>
      </c>
      <c r="R11" s="164" t="b">
        <v>0</v>
      </c>
      <c r="S11" s="164" t="b">
        <v>0</v>
      </c>
      <c r="T11" s="164" t="b">
        <v>0</v>
      </c>
      <c r="U11" s="164" t="b">
        <v>0</v>
      </c>
      <c r="V11" s="164" t="b">
        <v>0</v>
      </c>
      <c r="W11" s="164" t="b">
        <v>0</v>
      </c>
      <c r="X11" s="165" t="b">
        <v>0</v>
      </c>
      <c r="Y11" s="165" t="b">
        <v>0</v>
      </c>
      <c r="Z11" s="165" t="b">
        <v>0</v>
      </c>
      <c r="AA11" s="165" t="b">
        <v>0</v>
      </c>
      <c r="AB11" s="165" t="b">
        <v>0</v>
      </c>
      <c r="AC11" s="165" t="b">
        <v>0</v>
      </c>
      <c r="AD11" s="165" t="b">
        <v>0</v>
      </c>
      <c r="AE11" s="166" t="b">
        <v>0</v>
      </c>
      <c r="AF11" s="166" t="b">
        <v>0</v>
      </c>
      <c r="AG11" s="166" t="b">
        <v>0</v>
      </c>
      <c r="AH11" s="149"/>
      <c r="AI11" s="167"/>
      <c r="AJ11" s="160">
        <v>0.0</v>
      </c>
      <c r="AK11" s="169" t="str">
        <f>IFERROR(__xludf.DUMMYFUNCTION("iferror(SPARKLINE(AJ11/AI11,{""charttype"",""bar"";""max"",1;""color1"",""#c9e4b2""}))"),"")</f>
        <v/>
      </c>
      <c r="AL11" s="46"/>
      <c r="AM11" s="47"/>
      <c r="AN11" s="170"/>
    </row>
    <row r="12" ht="17.25" customHeight="1">
      <c r="A12" s="121"/>
      <c r="B12" s="160"/>
      <c r="C12" s="161" t="b">
        <v>0</v>
      </c>
      <c r="D12" s="162" t="b">
        <v>0</v>
      </c>
      <c r="E12" s="162" t="b">
        <v>0</v>
      </c>
      <c r="F12" s="162" t="b">
        <v>0</v>
      </c>
      <c r="G12" s="162" t="b">
        <v>0</v>
      </c>
      <c r="H12" s="162" t="b">
        <v>0</v>
      </c>
      <c r="I12" s="162" t="b">
        <v>0</v>
      </c>
      <c r="J12" s="163" t="b">
        <v>0</v>
      </c>
      <c r="K12" s="163" t="b">
        <v>0</v>
      </c>
      <c r="L12" s="163" t="b">
        <v>0</v>
      </c>
      <c r="M12" s="163" t="b">
        <v>0</v>
      </c>
      <c r="N12" s="163" t="b">
        <v>0</v>
      </c>
      <c r="O12" s="163" t="b">
        <v>0</v>
      </c>
      <c r="P12" s="163" t="b">
        <v>0</v>
      </c>
      <c r="Q12" s="164" t="b">
        <v>0</v>
      </c>
      <c r="R12" s="164" t="b">
        <v>0</v>
      </c>
      <c r="S12" s="164" t="b">
        <v>0</v>
      </c>
      <c r="T12" s="164" t="b">
        <v>0</v>
      </c>
      <c r="U12" s="164" t="b">
        <v>0</v>
      </c>
      <c r="V12" s="164" t="b">
        <v>0</v>
      </c>
      <c r="W12" s="164" t="b">
        <v>0</v>
      </c>
      <c r="X12" s="165" t="b">
        <v>0</v>
      </c>
      <c r="Y12" s="165" t="b">
        <v>0</v>
      </c>
      <c r="Z12" s="165" t="b">
        <v>0</v>
      </c>
      <c r="AA12" s="165" t="b">
        <v>0</v>
      </c>
      <c r="AB12" s="165" t="b">
        <v>0</v>
      </c>
      <c r="AC12" s="165" t="b">
        <v>0</v>
      </c>
      <c r="AD12" s="165" t="b">
        <v>0</v>
      </c>
      <c r="AE12" s="166" t="b">
        <v>0</v>
      </c>
      <c r="AF12" s="166" t="b">
        <v>0</v>
      </c>
      <c r="AG12" s="166" t="b">
        <v>0</v>
      </c>
      <c r="AH12" s="149"/>
      <c r="AI12" s="167"/>
      <c r="AJ12" s="160">
        <v>0.0</v>
      </c>
      <c r="AK12" s="169" t="str">
        <f>IFERROR(__xludf.DUMMYFUNCTION("iferror(SPARKLINE(AJ12/AI12,{""charttype"",""bar"";""max"",1;""color1"",""#c9e4b2""}))"),"")</f>
        <v/>
      </c>
      <c r="AL12" s="46"/>
      <c r="AM12" s="47"/>
      <c r="AN12" s="170"/>
    </row>
    <row r="13" ht="17.25" customHeight="1">
      <c r="A13" s="121"/>
      <c r="B13" s="160"/>
      <c r="C13" s="161" t="b">
        <v>0</v>
      </c>
      <c r="D13" s="162" t="b">
        <v>0</v>
      </c>
      <c r="E13" s="162" t="b">
        <v>0</v>
      </c>
      <c r="F13" s="162" t="b">
        <v>0</v>
      </c>
      <c r="G13" s="162" t="b">
        <v>0</v>
      </c>
      <c r="H13" s="162" t="b">
        <v>0</v>
      </c>
      <c r="I13" s="162" t="b">
        <v>0</v>
      </c>
      <c r="J13" s="163" t="b">
        <v>0</v>
      </c>
      <c r="K13" s="163" t="b">
        <v>0</v>
      </c>
      <c r="L13" s="163" t="b">
        <v>0</v>
      </c>
      <c r="M13" s="163" t="b">
        <v>0</v>
      </c>
      <c r="N13" s="163" t="b">
        <v>0</v>
      </c>
      <c r="O13" s="163" t="b">
        <v>0</v>
      </c>
      <c r="P13" s="163" t="b">
        <v>0</v>
      </c>
      <c r="Q13" s="164" t="b">
        <v>0</v>
      </c>
      <c r="R13" s="164" t="b">
        <v>0</v>
      </c>
      <c r="S13" s="164" t="b">
        <v>0</v>
      </c>
      <c r="T13" s="164" t="b">
        <v>0</v>
      </c>
      <c r="U13" s="164" t="b">
        <v>0</v>
      </c>
      <c r="V13" s="164" t="b">
        <v>0</v>
      </c>
      <c r="W13" s="164" t="b">
        <v>0</v>
      </c>
      <c r="X13" s="165" t="b">
        <v>0</v>
      </c>
      <c r="Y13" s="165" t="b">
        <v>0</v>
      </c>
      <c r="Z13" s="165" t="b">
        <v>0</v>
      </c>
      <c r="AA13" s="165" t="b">
        <v>0</v>
      </c>
      <c r="AB13" s="165" t="b">
        <v>0</v>
      </c>
      <c r="AC13" s="165" t="b">
        <v>0</v>
      </c>
      <c r="AD13" s="165" t="b">
        <v>0</v>
      </c>
      <c r="AE13" s="166" t="b">
        <v>0</v>
      </c>
      <c r="AF13" s="166" t="b">
        <v>0</v>
      </c>
      <c r="AG13" s="166" t="b">
        <v>0</v>
      </c>
      <c r="AH13" s="149"/>
      <c r="AI13" s="167"/>
      <c r="AJ13" s="160">
        <v>0.0</v>
      </c>
      <c r="AK13" s="169" t="str">
        <f>IFERROR(__xludf.DUMMYFUNCTION("iferror(SPARKLINE(AJ13/AI13,{""charttype"",""bar"";""max"",1;""color1"",""#c9e4b2""}))"),"")</f>
        <v/>
      </c>
      <c r="AL13" s="46"/>
      <c r="AM13" s="47"/>
      <c r="AN13" s="170"/>
    </row>
    <row r="14" ht="17.25" customHeight="1">
      <c r="A14" s="121"/>
      <c r="B14" s="160"/>
      <c r="C14" s="161" t="b">
        <v>0</v>
      </c>
      <c r="D14" s="162" t="b">
        <v>0</v>
      </c>
      <c r="E14" s="162" t="b">
        <v>0</v>
      </c>
      <c r="F14" s="162" t="b">
        <v>0</v>
      </c>
      <c r="G14" s="162" t="b">
        <v>0</v>
      </c>
      <c r="H14" s="162" t="b">
        <v>0</v>
      </c>
      <c r="I14" s="162" t="b">
        <v>0</v>
      </c>
      <c r="J14" s="163" t="b">
        <v>0</v>
      </c>
      <c r="K14" s="163" t="b">
        <v>0</v>
      </c>
      <c r="L14" s="163" t="b">
        <v>0</v>
      </c>
      <c r="M14" s="163" t="b">
        <v>0</v>
      </c>
      <c r="N14" s="163" t="b">
        <v>0</v>
      </c>
      <c r="O14" s="163" t="b">
        <v>0</v>
      </c>
      <c r="P14" s="163" t="b">
        <v>0</v>
      </c>
      <c r="Q14" s="164" t="b">
        <v>0</v>
      </c>
      <c r="R14" s="164" t="b">
        <v>0</v>
      </c>
      <c r="S14" s="164" t="b">
        <v>0</v>
      </c>
      <c r="T14" s="164" t="b">
        <v>0</v>
      </c>
      <c r="U14" s="164" t="b">
        <v>0</v>
      </c>
      <c r="V14" s="164" t="b">
        <v>0</v>
      </c>
      <c r="W14" s="164" t="b">
        <v>0</v>
      </c>
      <c r="X14" s="165" t="b">
        <v>0</v>
      </c>
      <c r="Y14" s="165" t="b">
        <v>0</v>
      </c>
      <c r="Z14" s="165" t="b">
        <v>0</v>
      </c>
      <c r="AA14" s="165" t="b">
        <v>0</v>
      </c>
      <c r="AB14" s="165" t="b">
        <v>0</v>
      </c>
      <c r="AC14" s="165" t="b">
        <v>0</v>
      </c>
      <c r="AD14" s="165" t="b">
        <v>0</v>
      </c>
      <c r="AE14" s="166" t="b">
        <v>0</v>
      </c>
      <c r="AF14" s="166" t="b">
        <v>0</v>
      </c>
      <c r="AG14" s="166" t="b">
        <v>0</v>
      </c>
      <c r="AH14" s="149"/>
      <c r="AI14" s="167"/>
      <c r="AJ14" s="160">
        <v>0.0</v>
      </c>
      <c r="AK14" s="169" t="str">
        <f>IFERROR(__xludf.DUMMYFUNCTION("iferror(SPARKLINE(AJ14/AI14,{""charttype"",""bar"";""max"",1;""color1"",""#c9e4b2""}))"),"")</f>
        <v/>
      </c>
      <c r="AL14" s="46"/>
      <c r="AM14" s="47"/>
      <c r="AN14" s="170"/>
    </row>
    <row r="15" ht="17.25" customHeight="1">
      <c r="A15" s="121"/>
      <c r="B15" s="160"/>
      <c r="C15" s="161" t="b">
        <v>0</v>
      </c>
      <c r="D15" s="162" t="b">
        <v>0</v>
      </c>
      <c r="E15" s="162" t="b">
        <v>0</v>
      </c>
      <c r="F15" s="162" t="b">
        <v>0</v>
      </c>
      <c r="G15" s="162" t="b">
        <v>0</v>
      </c>
      <c r="H15" s="162" t="b">
        <v>0</v>
      </c>
      <c r="I15" s="162" t="b">
        <v>0</v>
      </c>
      <c r="J15" s="163" t="b">
        <v>0</v>
      </c>
      <c r="K15" s="163" t="b">
        <v>0</v>
      </c>
      <c r="L15" s="163" t="b">
        <v>0</v>
      </c>
      <c r="M15" s="163" t="b">
        <v>0</v>
      </c>
      <c r="N15" s="163" t="b">
        <v>0</v>
      </c>
      <c r="O15" s="163" t="b">
        <v>0</v>
      </c>
      <c r="P15" s="163" t="b">
        <v>0</v>
      </c>
      <c r="Q15" s="164" t="b">
        <v>0</v>
      </c>
      <c r="R15" s="164" t="b">
        <v>0</v>
      </c>
      <c r="S15" s="164" t="b">
        <v>0</v>
      </c>
      <c r="T15" s="164" t="b">
        <v>0</v>
      </c>
      <c r="U15" s="164" t="b">
        <v>0</v>
      </c>
      <c r="V15" s="164" t="b">
        <v>0</v>
      </c>
      <c r="W15" s="164" t="b">
        <v>0</v>
      </c>
      <c r="X15" s="165" t="b">
        <v>0</v>
      </c>
      <c r="Y15" s="165" t="b">
        <v>0</v>
      </c>
      <c r="Z15" s="165" t="b">
        <v>0</v>
      </c>
      <c r="AA15" s="165" t="b">
        <v>0</v>
      </c>
      <c r="AB15" s="165" t="b">
        <v>0</v>
      </c>
      <c r="AC15" s="165" t="b">
        <v>0</v>
      </c>
      <c r="AD15" s="165" t="b">
        <v>0</v>
      </c>
      <c r="AE15" s="166" t="b">
        <v>0</v>
      </c>
      <c r="AF15" s="166" t="b">
        <v>0</v>
      </c>
      <c r="AG15" s="166" t="b">
        <v>0</v>
      </c>
      <c r="AH15" s="149"/>
      <c r="AI15" s="167"/>
      <c r="AJ15" s="160">
        <v>0.0</v>
      </c>
      <c r="AK15" s="169" t="str">
        <f>IFERROR(__xludf.DUMMYFUNCTION("iferror(SPARKLINE(AJ15/AI15,{""charttype"",""bar"";""max"",1;""color1"",""#c9e4b2""}))"),"")</f>
        <v/>
      </c>
      <c r="AL15" s="46"/>
      <c r="AM15" s="47"/>
      <c r="AN15" s="170"/>
    </row>
    <row r="16" ht="17.25" customHeight="1">
      <c r="A16" s="121"/>
      <c r="B16" s="160"/>
      <c r="C16" s="161" t="b">
        <v>0</v>
      </c>
      <c r="D16" s="162" t="b">
        <v>0</v>
      </c>
      <c r="E16" s="162" t="b">
        <v>0</v>
      </c>
      <c r="F16" s="162" t="b">
        <v>0</v>
      </c>
      <c r="G16" s="162" t="b">
        <v>0</v>
      </c>
      <c r="H16" s="162" t="b">
        <v>0</v>
      </c>
      <c r="I16" s="162" t="b">
        <v>0</v>
      </c>
      <c r="J16" s="163" t="b">
        <v>0</v>
      </c>
      <c r="K16" s="163" t="b">
        <v>0</v>
      </c>
      <c r="L16" s="163" t="b">
        <v>0</v>
      </c>
      <c r="M16" s="163" t="b">
        <v>0</v>
      </c>
      <c r="N16" s="163" t="b">
        <v>0</v>
      </c>
      <c r="O16" s="163" t="b">
        <v>0</v>
      </c>
      <c r="P16" s="163" t="b">
        <v>0</v>
      </c>
      <c r="Q16" s="164" t="b">
        <v>0</v>
      </c>
      <c r="R16" s="164" t="b">
        <v>0</v>
      </c>
      <c r="S16" s="164" t="b">
        <v>0</v>
      </c>
      <c r="T16" s="164" t="b">
        <v>0</v>
      </c>
      <c r="U16" s="164" t="b">
        <v>0</v>
      </c>
      <c r="V16" s="164" t="b">
        <v>0</v>
      </c>
      <c r="W16" s="164" t="b">
        <v>0</v>
      </c>
      <c r="X16" s="165" t="b">
        <v>0</v>
      </c>
      <c r="Y16" s="165" t="b">
        <v>0</v>
      </c>
      <c r="Z16" s="165" t="b">
        <v>0</v>
      </c>
      <c r="AA16" s="165" t="b">
        <v>0</v>
      </c>
      <c r="AB16" s="165" t="b">
        <v>0</v>
      </c>
      <c r="AC16" s="165" t="b">
        <v>0</v>
      </c>
      <c r="AD16" s="165" t="b">
        <v>0</v>
      </c>
      <c r="AE16" s="166" t="b">
        <v>0</v>
      </c>
      <c r="AF16" s="166" t="b">
        <v>0</v>
      </c>
      <c r="AG16" s="166" t="b">
        <v>0</v>
      </c>
      <c r="AH16" s="149"/>
      <c r="AI16" s="167"/>
      <c r="AJ16" s="160">
        <v>0.0</v>
      </c>
      <c r="AK16" s="169" t="str">
        <f>IFERROR(__xludf.DUMMYFUNCTION("iferror(SPARKLINE(AJ16/AI16,{""charttype"",""bar"";""max"",1;""color1"",""#c9e4b2""}))"),"")</f>
        <v/>
      </c>
      <c r="AL16" s="46"/>
      <c r="AM16" s="47"/>
      <c r="AN16" s="170"/>
    </row>
    <row r="17" ht="17.25" customHeight="1">
      <c r="A17" s="121"/>
      <c r="B17" s="160"/>
      <c r="C17" s="161" t="b">
        <v>0</v>
      </c>
      <c r="D17" s="162" t="b">
        <v>0</v>
      </c>
      <c r="E17" s="162" t="b">
        <v>0</v>
      </c>
      <c r="F17" s="162" t="b">
        <v>0</v>
      </c>
      <c r="G17" s="162" t="b">
        <v>0</v>
      </c>
      <c r="H17" s="162" t="b">
        <v>0</v>
      </c>
      <c r="I17" s="162" t="b">
        <v>0</v>
      </c>
      <c r="J17" s="163" t="b">
        <v>0</v>
      </c>
      <c r="K17" s="163" t="b">
        <v>0</v>
      </c>
      <c r="L17" s="163" t="b">
        <v>0</v>
      </c>
      <c r="M17" s="163" t="b">
        <v>0</v>
      </c>
      <c r="N17" s="163" t="b">
        <v>0</v>
      </c>
      <c r="O17" s="163" t="b">
        <v>0</v>
      </c>
      <c r="P17" s="163" t="b">
        <v>0</v>
      </c>
      <c r="Q17" s="164" t="b">
        <v>0</v>
      </c>
      <c r="R17" s="164" t="b">
        <v>0</v>
      </c>
      <c r="S17" s="164" t="b">
        <v>0</v>
      </c>
      <c r="T17" s="164" t="b">
        <v>0</v>
      </c>
      <c r="U17" s="164" t="b">
        <v>0</v>
      </c>
      <c r="V17" s="164" t="b">
        <v>0</v>
      </c>
      <c r="W17" s="164" t="b">
        <v>0</v>
      </c>
      <c r="X17" s="165" t="b">
        <v>0</v>
      </c>
      <c r="Y17" s="165" t="b">
        <v>0</v>
      </c>
      <c r="Z17" s="165" t="b">
        <v>0</v>
      </c>
      <c r="AA17" s="165" t="b">
        <v>0</v>
      </c>
      <c r="AB17" s="165" t="b">
        <v>0</v>
      </c>
      <c r="AC17" s="165" t="b">
        <v>0</v>
      </c>
      <c r="AD17" s="165" t="b">
        <v>0</v>
      </c>
      <c r="AE17" s="166" t="b">
        <v>0</v>
      </c>
      <c r="AF17" s="166" t="b">
        <v>0</v>
      </c>
      <c r="AG17" s="166" t="b">
        <v>0</v>
      </c>
      <c r="AH17" s="149"/>
      <c r="AI17" s="167"/>
      <c r="AJ17" s="160">
        <v>0.0</v>
      </c>
      <c r="AK17" s="169" t="str">
        <f>IFERROR(__xludf.DUMMYFUNCTION("iferror(SPARKLINE(AJ17/AI17,{""charttype"",""bar"";""max"",1;""color1"",""#c9e4b2""}))"),"")</f>
        <v/>
      </c>
      <c r="AL17" s="46"/>
      <c r="AM17" s="47"/>
      <c r="AN17" s="170"/>
    </row>
    <row r="18" ht="17.25" customHeight="1">
      <c r="A18" s="121"/>
      <c r="B18" s="160"/>
      <c r="C18" s="161" t="b">
        <v>0</v>
      </c>
      <c r="D18" s="162" t="b">
        <v>0</v>
      </c>
      <c r="E18" s="162" t="b">
        <v>0</v>
      </c>
      <c r="F18" s="162" t="b">
        <v>0</v>
      </c>
      <c r="G18" s="162" t="b">
        <v>0</v>
      </c>
      <c r="H18" s="162" t="b">
        <v>0</v>
      </c>
      <c r="I18" s="162" t="b">
        <v>0</v>
      </c>
      <c r="J18" s="163" t="b">
        <v>0</v>
      </c>
      <c r="K18" s="163" t="b">
        <v>0</v>
      </c>
      <c r="L18" s="163" t="b">
        <v>0</v>
      </c>
      <c r="M18" s="163" t="b">
        <v>0</v>
      </c>
      <c r="N18" s="163" t="b">
        <v>0</v>
      </c>
      <c r="O18" s="163" t="b">
        <v>0</v>
      </c>
      <c r="P18" s="163" t="b">
        <v>0</v>
      </c>
      <c r="Q18" s="164" t="b">
        <v>0</v>
      </c>
      <c r="R18" s="164" t="b">
        <v>0</v>
      </c>
      <c r="S18" s="164" t="b">
        <v>0</v>
      </c>
      <c r="T18" s="164" t="b">
        <v>0</v>
      </c>
      <c r="U18" s="164" t="b">
        <v>0</v>
      </c>
      <c r="V18" s="164" t="b">
        <v>0</v>
      </c>
      <c r="W18" s="164" t="b">
        <v>0</v>
      </c>
      <c r="X18" s="165" t="b">
        <v>0</v>
      </c>
      <c r="Y18" s="165" t="b">
        <v>0</v>
      </c>
      <c r="Z18" s="165" t="b">
        <v>0</v>
      </c>
      <c r="AA18" s="165" t="b">
        <v>0</v>
      </c>
      <c r="AB18" s="165" t="b">
        <v>0</v>
      </c>
      <c r="AC18" s="165" t="b">
        <v>0</v>
      </c>
      <c r="AD18" s="165" t="b">
        <v>0</v>
      </c>
      <c r="AE18" s="166" t="b">
        <v>0</v>
      </c>
      <c r="AF18" s="166" t="b">
        <v>0</v>
      </c>
      <c r="AG18" s="166" t="b">
        <v>0</v>
      </c>
      <c r="AH18" s="149"/>
      <c r="AI18" s="167"/>
      <c r="AJ18" s="160">
        <v>0.0</v>
      </c>
      <c r="AK18" s="169" t="str">
        <f>IFERROR(__xludf.DUMMYFUNCTION("iferror(SPARKLINE(AJ18/AI18,{""charttype"",""bar"";""max"",1;""color1"",""#c9e4b2""}))"),"")</f>
        <v/>
      </c>
      <c r="AL18" s="46"/>
      <c r="AM18" s="47"/>
      <c r="AN18" s="170"/>
    </row>
    <row r="19" ht="17.25" customHeight="1">
      <c r="A19" s="121"/>
      <c r="B19" s="160"/>
      <c r="C19" s="161" t="b">
        <v>0</v>
      </c>
      <c r="D19" s="162" t="b">
        <v>0</v>
      </c>
      <c r="E19" s="162" t="b">
        <v>0</v>
      </c>
      <c r="F19" s="162" t="b">
        <v>0</v>
      </c>
      <c r="G19" s="162" t="b">
        <v>0</v>
      </c>
      <c r="H19" s="162" t="b">
        <v>0</v>
      </c>
      <c r="I19" s="162" t="b">
        <v>0</v>
      </c>
      <c r="J19" s="163" t="b">
        <v>0</v>
      </c>
      <c r="K19" s="163" t="b">
        <v>0</v>
      </c>
      <c r="L19" s="163" t="b">
        <v>0</v>
      </c>
      <c r="M19" s="163" t="b">
        <v>0</v>
      </c>
      <c r="N19" s="163" t="b">
        <v>0</v>
      </c>
      <c r="O19" s="163" t="b">
        <v>0</v>
      </c>
      <c r="P19" s="163" t="b">
        <v>0</v>
      </c>
      <c r="Q19" s="164" t="b">
        <v>0</v>
      </c>
      <c r="R19" s="164" t="b">
        <v>0</v>
      </c>
      <c r="S19" s="164" t="b">
        <v>0</v>
      </c>
      <c r="T19" s="164" t="b">
        <v>0</v>
      </c>
      <c r="U19" s="164" t="b">
        <v>0</v>
      </c>
      <c r="V19" s="164" t="b">
        <v>0</v>
      </c>
      <c r="W19" s="164" t="b">
        <v>0</v>
      </c>
      <c r="X19" s="165" t="b">
        <v>0</v>
      </c>
      <c r="Y19" s="165" t="b">
        <v>0</v>
      </c>
      <c r="Z19" s="165" t="b">
        <v>0</v>
      </c>
      <c r="AA19" s="165" t="b">
        <v>0</v>
      </c>
      <c r="AB19" s="165" t="b">
        <v>0</v>
      </c>
      <c r="AC19" s="165" t="b">
        <v>0</v>
      </c>
      <c r="AD19" s="165" t="b">
        <v>0</v>
      </c>
      <c r="AE19" s="166" t="b">
        <v>0</v>
      </c>
      <c r="AF19" s="166" t="b">
        <v>0</v>
      </c>
      <c r="AG19" s="166" t="b">
        <v>0</v>
      </c>
      <c r="AH19" s="149"/>
      <c r="AI19" s="167"/>
      <c r="AJ19" s="160">
        <v>0.0</v>
      </c>
      <c r="AK19" s="169" t="str">
        <f>IFERROR(__xludf.DUMMYFUNCTION("iferror(SPARKLINE(AJ19/AI19,{""charttype"",""bar"";""max"",1;""color1"",""#c9e4b2""}))"),"")</f>
        <v/>
      </c>
      <c r="AL19" s="46"/>
      <c r="AM19" s="47"/>
      <c r="AN19" s="170"/>
    </row>
    <row r="20" ht="17.25" customHeight="1">
      <c r="A20" s="121"/>
      <c r="B20" s="160"/>
      <c r="C20" s="161" t="b">
        <v>0</v>
      </c>
      <c r="D20" s="162" t="b">
        <v>0</v>
      </c>
      <c r="E20" s="162" t="b">
        <v>0</v>
      </c>
      <c r="F20" s="162" t="b">
        <v>0</v>
      </c>
      <c r="G20" s="162" t="b">
        <v>0</v>
      </c>
      <c r="H20" s="162" t="b">
        <v>0</v>
      </c>
      <c r="I20" s="162" t="b">
        <v>0</v>
      </c>
      <c r="J20" s="163" t="b">
        <v>0</v>
      </c>
      <c r="K20" s="163" t="b">
        <v>0</v>
      </c>
      <c r="L20" s="163" t="b">
        <v>0</v>
      </c>
      <c r="M20" s="163" t="b">
        <v>0</v>
      </c>
      <c r="N20" s="163" t="b">
        <v>0</v>
      </c>
      <c r="O20" s="163" t="b">
        <v>0</v>
      </c>
      <c r="P20" s="163" t="b">
        <v>0</v>
      </c>
      <c r="Q20" s="164" t="b">
        <v>0</v>
      </c>
      <c r="R20" s="164" t="b">
        <v>0</v>
      </c>
      <c r="S20" s="164" t="b">
        <v>0</v>
      </c>
      <c r="T20" s="164" t="b">
        <v>0</v>
      </c>
      <c r="U20" s="164" t="b">
        <v>0</v>
      </c>
      <c r="V20" s="164" t="b">
        <v>0</v>
      </c>
      <c r="W20" s="164" t="b">
        <v>0</v>
      </c>
      <c r="X20" s="165" t="b">
        <v>0</v>
      </c>
      <c r="Y20" s="165" t="b">
        <v>0</v>
      </c>
      <c r="Z20" s="165" t="b">
        <v>0</v>
      </c>
      <c r="AA20" s="165" t="b">
        <v>0</v>
      </c>
      <c r="AB20" s="165" t="b">
        <v>0</v>
      </c>
      <c r="AC20" s="165" t="b">
        <v>0</v>
      </c>
      <c r="AD20" s="165" t="b">
        <v>0</v>
      </c>
      <c r="AE20" s="166" t="b">
        <v>0</v>
      </c>
      <c r="AF20" s="166" t="b">
        <v>0</v>
      </c>
      <c r="AG20" s="166" t="b">
        <v>0</v>
      </c>
      <c r="AH20" s="149"/>
      <c r="AI20" s="167"/>
      <c r="AJ20" s="160">
        <v>0.0</v>
      </c>
      <c r="AK20" s="169" t="str">
        <f>IFERROR(__xludf.DUMMYFUNCTION("iferror(SPARKLINE(AJ20/AI20,{""charttype"",""bar"";""max"",1;""color1"",""#c9e4b2""}))"),"")</f>
        <v/>
      </c>
      <c r="AL20" s="46"/>
      <c r="AM20" s="47"/>
      <c r="AN20" s="170"/>
    </row>
    <row r="21" ht="17.25" customHeight="1">
      <c r="A21" s="121"/>
      <c r="B21" s="160"/>
      <c r="C21" s="171" t="b">
        <v>0</v>
      </c>
      <c r="D21" s="172" t="b">
        <v>0</v>
      </c>
      <c r="E21" s="172" t="b">
        <v>0</v>
      </c>
      <c r="F21" s="172" t="b">
        <v>0</v>
      </c>
      <c r="G21" s="172" t="b">
        <v>0</v>
      </c>
      <c r="H21" s="172" t="b">
        <v>0</v>
      </c>
      <c r="I21" s="172" t="b">
        <v>0</v>
      </c>
      <c r="J21" s="173" t="b">
        <v>0</v>
      </c>
      <c r="K21" s="173" t="b">
        <v>0</v>
      </c>
      <c r="L21" s="173" t="b">
        <v>0</v>
      </c>
      <c r="M21" s="173" t="b">
        <v>0</v>
      </c>
      <c r="N21" s="173" t="b">
        <v>0</v>
      </c>
      <c r="O21" s="173" t="b">
        <v>0</v>
      </c>
      <c r="P21" s="173" t="b">
        <v>0</v>
      </c>
      <c r="Q21" s="174" t="b">
        <v>0</v>
      </c>
      <c r="R21" s="174" t="b">
        <v>0</v>
      </c>
      <c r="S21" s="174" t="b">
        <v>0</v>
      </c>
      <c r="T21" s="174" t="b">
        <v>0</v>
      </c>
      <c r="U21" s="174" t="b">
        <v>0</v>
      </c>
      <c r="V21" s="174" t="b">
        <v>0</v>
      </c>
      <c r="W21" s="174" t="b">
        <v>0</v>
      </c>
      <c r="X21" s="175" t="b">
        <v>0</v>
      </c>
      <c r="Y21" s="175" t="b">
        <v>0</v>
      </c>
      <c r="Z21" s="175" t="b">
        <v>0</v>
      </c>
      <c r="AA21" s="175" t="b">
        <v>0</v>
      </c>
      <c r="AB21" s="175" t="b">
        <v>0</v>
      </c>
      <c r="AC21" s="175" t="b">
        <v>0</v>
      </c>
      <c r="AD21" s="175" t="b">
        <v>0</v>
      </c>
      <c r="AE21" s="176" t="b">
        <v>0</v>
      </c>
      <c r="AF21" s="176" t="b">
        <v>0</v>
      </c>
      <c r="AG21" s="176" t="b">
        <v>0</v>
      </c>
      <c r="AH21" s="149"/>
      <c r="AI21" s="167"/>
      <c r="AJ21" s="160">
        <v>0.0</v>
      </c>
      <c r="AK21" s="169" t="str">
        <f>IFERROR(__xludf.DUMMYFUNCTION("iferror(SPARKLINE(AJ21/AI21,{""charttype"",""bar"";""max"",1;""color1"",""#c9e4b2""}))"),"")</f>
        <v/>
      </c>
      <c r="AL21" s="46"/>
      <c r="AM21" s="47"/>
      <c r="AN21" s="170"/>
    </row>
    <row r="22" ht="17.25" customHeight="1">
      <c r="A22" s="121"/>
      <c r="B22" s="121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49"/>
      <c r="AK22" s="149"/>
      <c r="AL22" s="149"/>
      <c r="AM22" s="149"/>
      <c r="AN22" s="149"/>
    </row>
    <row r="23" ht="17.25" customHeight="1">
      <c r="A23" s="121"/>
      <c r="B23" s="219" t="s">
        <v>26</v>
      </c>
      <c r="C23" s="178">
        <f t="shared" ref="C23:AG23" si="1">COUNTIF(C10:C21, TRUE)/COUNTA(C10:C21)</f>
        <v>0</v>
      </c>
      <c r="D23" s="178">
        <f t="shared" si="1"/>
        <v>0</v>
      </c>
      <c r="E23" s="178">
        <f t="shared" si="1"/>
        <v>0</v>
      </c>
      <c r="F23" s="178">
        <f t="shared" si="1"/>
        <v>0</v>
      </c>
      <c r="G23" s="178">
        <f t="shared" si="1"/>
        <v>0</v>
      </c>
      <c r="H23" s="178">
        <f t="shared" si="1"/>
        <v>0</v>
      </c>
      <c r="I23" s="178">
        <f t="shared" si="1"/>
        <v>0</v>
      </c>
      <c r="J23" s="178">
        <f t="shared" si="1"/>
        <v>0</v>
      </c>
      <c r="K23" s="178">
        <f t="shared" si="1"/>
        <v>0</v>
      </c>
      <c r="L23" s="178">
        <f t="shared" si="1"/>
        <v>0</v>
      </c>
      <c r="M23" s="178">
        <f t="shared" si="1"/>
        <v>0</v>
      </c>
      <c r="N23" s="178">
        <f t="shared" si="1"/>
        <v>0</v>
      </c>
      <c r="O23" s="178">
        <f t="shared" si="1"/>
        <v>0</v>
      </c>
      <c r="P23" s="178">
        <f t="shared" si="1"/>
        <v>0</v>
      </c>
      <c r="Q23" s="178">
        <f t="shared" si="1"/>
        <v>0</v>
      </c>
      <c r="R23" s="178">
        <f t="shared" si="1"/>
        <v>0</v>
      </c>
      <c r="S23" s="178">
        <f t="shared" si="1"/>
        <v>0</v>
      </c>
      <c r="T23" s="178">
        <f t="shared" si="1"/>
        <v>0</v>
      </c>
      <c r="U23" s="178">
        <f t="shared" si="1"/>
        <v>0</v>
      </c>
      <c r="V23" s="178">
        <f t="shared" si="1"/>
        <v>0</v>
      </c>
      <c r="W23" s="178">
        <f t="shared" si="1"/>
        <v>0</v>
      </c>
      <c r="X23" s="178">
        <f t="shared" si="1"/>
        <v>0</v>
      </c>
      <c r="Y23" s="178">
        <f t="shared" si="1"/>
        <v>0</v>
      </c>
      <c r="Z23" s="178">
        <f t="shared" si="1"/>
        <v>0</v>
      </c>
      <c r="AA23" s="178">
        <f t="shared" si="1"/>
        <v>0</v>
      </c>
      <c r="AB23" s="178">
        <f t="shared" si="1"/>
        <v>0</v>
      </c>
      <c r="AC23" s="178">
        <f t="shared" si="1"/>
        <v>0</v>
      </c>
      <c r="AD23" s="178">
        <f t="shared" si="1"/>
        <v>0</v>
      </c>
      <c r="AE23" s="178">
        <f t="shared" si="1"/>
        <v>0</v>
      </c>
      <c r="AF23" s="178">
        <f t="shared" si="1"/>
        <v>0</v>
      </c>
      <c r="AG23" s="178">
        <f t="shared" si="1"/>
        <v>0</v>
      </c>
      <c r="AH23" s="149"/>
      <c r="AI23" s="179"/>
      <c r="AJ23" s="180"/>
      <c r="AK23" s="149"/>
      <c r="AL23" s="149"/>
      <c r="AM23" s="149"/>
      <c r="AN23" s="149"/>
    </row>
    <row r="24" ht="17.25" customHeight="1">
      <c r="A24" s="121"/>
      <c r="B24" s="219" t="s">
        <v>51</v>
      </c>
      <c r="C24" s="181">
        <f t="shared" ref="C24:AG24" si="2">COUNTIF(C10:C21, true)</f>
        <v>0</v>
      </c>
      <c r="D24" s="181">
        <f t="shared" si="2"/>
        <v>0</v>
      </c>
      <c r="E24" s="181">
        <f t="shared" si="2"/>
        <v>0</v>
      </c>
      <c r="F24" s="181">
        <f t="shared" si="2"/>
        <v>0</v>
      </c>
      <c r="G24" s="181">
        <f t="shared" si="2"/>
        <v>0</v>
      </c>
      <c r="H24" s="181">
        <f t="shared" si="2"/>
        <v>0</v>
      </c>
      <c r="I24" s="181">
        <f t="shared" si="2"/>
        <v>0</v>
      </c>
      <c r="J24" s="181">
        <f t="shared" si="2"/>
        <v>0</v>
      </c>
      <c r="K24" s="181">
        <f t="shared" si="2"/>
        <v>0</v>
      </c>
      <c r="L24" s="181">
        <f t="shared" si="2"/>
        <v>0</v>
      </c>
      <c r="M24" s="181">
        <f t="shared" si="2"/>
        <v>0</v>
      </c>
      <c r="N24" s="181">
        <f t="shared" si="2"/>
        <v>0</v>
      </c>
      <c r="O24" s="181">
        <f t="shared" si="2"/>
        <v>0</v>
      </c>
      <c r="P24" s="181">
        <f t="shared" si="2"/>
        <v>0</v>
      </c>
      <c r="Q24" s="181">
        <f t="shared" si="2"/>
        <v>0</v>
      </c>
      <c r="R24" s="181">
        <f t="shared" si="2"/>
        <v>0</v>
      </c>
      <c r="S24" s="181">
        <f t="shared" si="2"/>
        <v>0</v>
      </c>
      <c r="T24" s="181">
        <f t="shared" si="2"/>
        <v>0</v>
      </c>
      <c r="U24" s="181">
        <f t="shared" si="2"/>
        <v>0</v>
      </c>
      <c r="V24" s="181">
        <f t="shared" si="2"/>
        <v>0</v>
      </c>
      <c r="W24" s="181">
        <f t="shared" si="2"/>
        <v>0</v>
      </c>
      <c r="X24" s="181">
        <f t="shared" si="2"/>
        <v>0</v>
      </c>
      <c r="Y24" s="181">
        <f t="shared" si="2"/>
        <v>0</v>
      </c>
      <c r="Z24" s="181">
        <f t="shared" si="2"/>
        <v>0</v>
      </c>
      <c r="AA24" s="181">
        <f t="shared" si="2"/>
        <v>0</v>
      </c>
      <c r="AB24" s="181">
        <f t="shared" si="2"/>
        <v>0</v>
      </c>
      <c r="AC24" s="181">
        <f t="shared" si="2"/>
        <v>0</v>
      </c>
      <c r="AD24" s="181">
        <f t="shared" si="2"/>
        <v>0</v>
      </c>
      <c r="AE24" s="181">
        <f t="shared" si="2"/>
        <v>0</v>
      </c>
      <c r="AF24" s="181">
        <f t="shared" si="2"/>
        <v>0</v>
      </c>
      <c r="AG24" s="181">
        <f t="shared" si="2"/>
        <v>0</v>
      </c>
      <c r="AH24" s="149"/>
      <c r="AI24" s="179"/>
      <c r="AJ24" s="180"/>
      <c r="AK24" s="149"/>
      <c r="AL24" s="149"/>
      <c r="AM24" s="149"/>
      <c r="AN24" s="149"/>
    </row>
    <row r="25" ht="17.25" customHeight="1">
      <c r="A25" s="121"/>
      <c r="B25" s="219" t="s">
        <v>52</v>
      </c>
      <c r="C25" s="182">
        <f t="shared" ref="C25:AG25" si="3">COUNTIF(C10:C21, false)</f>
        <v>12</v>
      </c>
      <c r="D25" s="182">
        <f t="shared" si="3"/>
        <v>12</v>
      </c>
      <c r="E25" s="182">
        <f t="shared" si="3"/>
        <v>12</v>
      </c>
      <c r="F25" s="182">
        <f t="shared" si="3"/>
        <v>12</v>
      </c>
      <c r="G25" s="182">
        <f t="shared" si="3"/>
        <v>12</v>
      </c>
      <c r="H25" s="182">
        <f t="shared" si="3"/>
        <v>12</v>
      </c>
      <c r="I25" s="182">
        <f t="shared" si="3"/>
        <v>12</v>
      </c>
      <c r="J25" s="182">
        <f t="shared" si="3"/>
        <v>12</v>
      </c>
      <c r="K25" s="182">
        <f t="shared" si="3"/>
        <v>12</v>
      </c>
      <c r="L25" s="182">
        <f t="shared" si="3"/>
        <v>12</v>
      </c>
      <c r="M25" s="182">
        <f t="shared" si="3"/>
        <v>12</v>
      </c>
      <c r="N25" s="182">
        <f t="shared" si="3"/>
        <v>12</v>
      </c>
      <c r="O25" s="182">
        <f t="shared" si="3"/>
        <v>12</v>
      </c>
      <c r="P25" s="182">
        <f t="shared" si="3"/>
        <v>12</v>
      </c>
      <c r="Q25" s="182">
        <f t="shared" si="3"/>
        <v>12</v>
      </c>
      <c r="R25" s="182">
        <f t="shared" si="3"/>
        <v>12</v>
      </c>
      <c r="S25" s="182">
        <f t="shared" si="3"/>
        <v>12</v>
      </c>
      <c r="T25" s="182">
        <f t="shared" si="3"/>
        <v>12</v>
      </c>
      <c r="U25" s="182">
        <f t="shared" si="3"/>
        <v>12</v>
      </c>
      <c r="V25" s="182">
        <f t="shared" si="3"/>
        <v>12</v>
      </c>
      <c r="W25" s="182">
        <f t="shared" si="3"/>
        <v>12</v>
      </c>
      <c r="X25" s="182">
        <f t="shared" si="3"/>
        <v>12</v>
      </c>
      <c r="Y25" s="182">
        <f t="shared" si="3"/>
        <v>12</v>
      </c>
      <c r="Z25" s="182">
        <f t="shared" si="3"/>
        <v>12</v>
      </c>
      <c r="AA25" s="182">
        <f t="shared" si="3"/>
        <v>12</v>
      </c>
      <c r="AB25" s="182">
        <f t="shared" si="3"/>
        <v>12</v>
      </c>
      <c r="AC25" s="182">
        <f t="shared" si="3"/>
        <v>12</v>
      </c>
      <c r="AD25" s="182">
        <f t="shared" si="3"/>
        <v>12</v>
      </c>
      <c r="AE25" s="182">
        <f t="shared" si="3"/>
        <v>12</v>
      </c>
      <c r="AF25" s="182">
        <f t="shared" si="3"/>
        <v>12</v>
      </c>
      <c r="AG25" s="182">
        <f t="shared" si="3"/>
        <v>12</v>
      </c>
      <c r="AH25" s="149"/>
      <c r="AI25" s="179"/>
      <c r="AJ25" s="180"/>
      <c r="AK25" s="149"/>
      <c r="AL25" s="149"/>
      <c r="AM25" s="149"/>
      <c r="AN25" s="149"/>
    </row>
    <row r="26" ht="17.25" customHeight="1">
      <c r="A26" s="121"/>
      <c r="B26" s="121"/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  <c r="AA26" s="149"/>
      <c r="AB26" s="149"/>
      <c r="AC26" s="149"/>
      <c r="AD26" s="149"/>
      <c r="AE26" s="149"/>
      <c r="AF26" s="149"/>
      <c r="AG26" s="149"/>
      <c r="AH26" s="149"/>
      <c r="AI26" s="179"/>
      <c r="AJ26" s="180"/>
      <c r="AK26" s="149"/>
      <c r="AL26" s="149"/>
      <c r="AM26" s="149"/>
      <c r="AN26" s="149"/>
    </row>
    <row r="27" ht="17.25" customHeight="1">
      <c r="A27" s="121"/>
      <c r="B27" s="121"/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  <c r="AA27" s="149"/>
      <c r="AB27" s="149"/>
      <c r="AC27" s="149"/>
      <c r="AD27" s="149"/>
      <c r="AE27" s="149"/>
      <c r="AF27" s="149"/>
      <c r="AG27" s="149"/>
      <c r="AH27" s="149"/>
      <c r="AI27" s="179"/>
      <c r="AJ27" s="180"/>
      <c r="AK27" s="149"/>
      <c r="AL27" s="149"/>
      <c r="AM27" s="149"/>
      <c r="AN27" s="149"/>
    </row>
    <row r="28" ht="17.25" customHeight="1">
      <c r="A28" s="121"/>
      <c r="B28" s="121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  <c r="AB28" s="149"/>
      <c r="AC28" s="149"/>
      <c r="AD28" s="149"/>
      <c r="AE28" s="149"/>
      <c r="AF28" s="149"/>
      <c r="AG28" s="149"/>
      <c r="AH28" s="149"/>
      <c r="AI28" s="179"/>
      <c r="AJ28" s="180"/>
      <c r="AK28" s="149"/>
      <c r="AL28" s="149"/>
      <c r="AM28" s="149"/>
      <c r="AN28" s="149"/>
    </row>
    <row r="29" ht="17.25" customHeight="1">
      <c r="A29" s="121"/>
      <c r="B29" s="121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79"/>
      <c r="AJ29" s="180"/>
      <c r="AK29" s="149"/>
      <c r="AL29" s="149"/>
      <c r="AM29" s="149"/>
      <c r="AN29" s="149"/>
    </row>
    <row r="30" ht="17.25" customHeight="1">
      <c r="A30" s="121"/>
      <c r="B30" s="121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49"/>
      <c r="AE30" s="149"/>
      <c r="AF30" s="149"/>
      <c r="AG30" s="149"/>
      <c r="AH30" s="149"/>
      <c r="AI30" s="179"/>
      <c r="AJ30" s="180"/>
      <c r="AK30" s="149"/>
      <c r="AL30" s="149"/>
      <c r="AM30" s="149"/>
      <c r="AN30" s="149"/>
    </row>
    <row r="31" ht="17.25" customHeight="1">
      <c r="A31" s="121"/>
      <c r="B31" s="121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  <c r="AI31" s="179"/>
      <c r="AJ31" s="180"/>
      <c r="AK31" s="149"/>
      <c r="AL31" s="149"/>
      <c r="AM31" s="149"/>
      <c r="AN31" s="149"/>
    </row>
    <row r="32" ht="17.25" customHeight="1">
      <c r="A32" s="121"/>
      <c r="B32" s="121"/>
      <c r="C32" s="149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79"/>
      <c r="AJ32" s="180"/>
      <c r="AK32" s="149"/>
      <c r="AL32" s="149"/>
      <c r="AM32" s="149"/>
      <c r="AN32" s="149"/>
    </row>
    <row r="33" ht="17.25" customHeight="1">
      <c r="A33" s="121"/>
      <c r="B33" s="121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149"/>
      <c r="AG33" s="149"/>
      <c r="AH33" s="149"/>
      <c r="AI33" s="179"/>
      <c r="AJ33" s="180"/>
      <c r="AK33" s="149"/>
      <c r="AL33" s="149"/>
      <c r="AM33" s="149"/>
      <c r="AN33" s="149"/>
    </row>
    <row r="34" ht="17.25" customHeight="1">
      <c r="A34" s="121"/>
      <c r="B34" s="121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  <c r="AC34" s="149"/>
      <c r="AD34" s="149"/>
      <c r="AE34" s="149"/>
      <c r="AF34" s="149"/>
      <c r="AG34" s="149"/>
      <c r="AH34" s="149"/>
      <c r="AI34" s="179"/>
      <c r="AJ34" s="180"/>
      <c r="AK34" s="149"/>
      <c r="AL34" s="149"/>
      <c r="AM34" s="149"/>
      <c r="AN34" s="149"/>
    </row>
    <row r="35" ht="17.25" customHeight="1">
      <c r="A35" s="121"/>
      <c r="B35" s="121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149"/>
      <c r="AE35" s="149"/>
      <c r="AF35" s="149"/>
      <c r="AG35" s="149"/>
      <c r="AH35" s="149"/>
      <c r="AI35" s="183"/>
      <c r="AJ35" s="183"/>
      <c r="AK35" s="149"/>
      <c r="AL35" s="149"/>
      <c r="AM35" s="149"/>
      <c r="AN35" s="149"/>
    </row>
    <row r="36" ht="17.25" customHeight="1">
      <c r="A36" s="121"/>
      <c r="B36" s="184" t="s">
        <v>53</v>
      </c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7"/>
      <c r="AH36" s="149"/>
      <c r="AI36" s="184" t="s">
        <v>54</v>
      </c>
      <c r="AJ36" s="46"/>
      <c r="AK36" s="46"/>
      <c r="AL36" s="46"/>
      <c r="AM36" s="47"/>
      <c r="AN36" s="149"/>
    </row>
    <row r="37" ht="17.25" customHeight="1">
      <c r="A37" s="121"/>
      <c r="B37" s="185" t="s">
        <v>55</v>
      </c>
      <c r="C37" s="186"/>
      <c r="D37" s="186"/>
      <c r="E37" s="186"/>
      <c r="F37" s="186"/>
      <c r="G37" s="186"/>
      <c r="H37" s="186"/>
      <c r="I37" s="186"/>
      <c r="J37" s="186"/>
      <c r="K37" s="186"/>
      <c r="L37" s="186"/>
      <c r="M37" s="186"/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  <c r="AA37" s="186"/>
      <c r="AB37" s="186"/>
      <c r="AC37" s="186"/>
      <c r="AD37" s="186"/>
      <c r="AE37" s="186"/>
      <c r="AF37" s="186"/>
      <c r="AG37" s="186"/>
      <c r="AH37" s="149"/>
      <c r="AI37" s="187" t="str">
        <f t="shared" ref="AI37:AI39" si="4">iferror(Average(C37:AG37), "")</f>
        <v/>
      </c>
      <c r="AJ37" s="46"/>
      <c r="AK37" s="46"/>
      <c r="AL37" s="46"/>
      <c r="AM37" s="47"/>
      <c r="AN37" s="149"/>
    </row>
    <row r="38" ht="17.25" customHeight="1">
      <c r="A38" s="121"/>
      <c r="B38" s="185" t="s">
        <v>56</v>
      </c>
      <c r="C38" s="188"/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88"/>
      <c r="P38" s="188"/>
      <c r="Q38" s="188"/>
      <c r="R38" s="188"/>
      <c r="S38" s="188"/>
      <c r="T38" s="188"/>
      <c r="U38" s="188"/>
      <c r="V38" s="188"/>
      <c r="W38" s="188"/>
      <c r="X38" s="188"/>
      <c r="Y38" s="188"/>
      <c r="Z38" s="188"/>
      <c r="AA38" s="188"/>
      <c r="AB38" s="188"/>
      <c r="AC38" s="188"/>
      <c r="AD38" s="188"/>
      <c r="AE38" s="188"/>
      <c r="AF38" s="188"/>
      <c r="AG38" s="188"/>
      <c r="AH38" s="149"/>
      <c r="AI38" s="187" t="str">
        <f t="shared" si="4"/>
        <v/>
      </c>
      <c r="AJ38" s="46"/>
      <c r="AK38" s="46"/>
      <c r="AL38" s="46"/>
      <c r="AM38" s="47"/>
      <c r="AN38" s="149"/>
    </row>
    <row r="39" ht="17.25" customHeight="1">
      <c r="A39" s="121"/>
      <c r="B39" s="185" t="s">
        <v>63</v>
      </c>
      <c r="C39" s="189"/>
      <c r="D39" s="189"/>
      <c r="E39" s="189"/>
      <c r="F39" s="189"/>
      <c r="G39" s="189"/>
      <c r="H39" s="189"/>
      <c r="I39" s="189"/>
      <c r="J39" s="189"/>
      <c r="K39" s="189"/>
      <c r="L39" s="189"/>
      <c r="M39" s="189"/>
      <c r="N39" s="189"/>
      <c r="O39" s="189"/>
      <c r="P39" s="189"/>
      <c r="Q39" s="189"/>
      <c r="R39" s="189"/>
      <c r="S39" s="189"/>
      <c r="T39" s="189"/>
      <c r="U39" s="189"/>
      <c r="V39" s="189"/>
      <c r="W39" s="189"/>
      <c r="X39" s="189"/>
      <c r="Y39" s="189"/>
      <c r="Z39" s="189"/>
      <c r="AA39" s="189"/>
      <c r="AB39" s="189"/>
      <c r="AC39" s="189"/>
      <c r="AD39" s="189"/>
      <c r="AE39" s="189"/>
      <c r="AF39" s="189"/>
      <c r="AG39" s="189"/>
      <c r="AH39" s="149"/>
      <c r="AI39" s="187" t="str">
        <f t="shared" si="4"/>
        <v/>
      </c>
      <c r="AJ39" s="46"/>
      <c r="AK39" s="46"/>
      <c r="AL39" s="46"/>
      <c r="AM39" s="47"/>
      <c r="AN39" s="149"/>
    </row>
    <row r="40" ht="17.25" customHeight="1">
      <c r="A40" s="121"/>
      <c r="B40" s="121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  <c r="AK40" s="149"/>
      <c r="AL40" s="149"/>
      <c r="AM40" s="149"/>
      <c r="AN40" s="149"/>
    </row>
    <row r="41" ht="17.25" customHeight="1">
      <c r="A41" s="121"/>
      <c r="B41" s="121"/>
      <c r="C41" s="149"/>
      <c r="D41" s="149"/>
      <c r="E41" s="149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  <c r="AB41" s="149"/>
      <c r="AC41" s="149"/>
      <c r="AD41" s="149"/>
      <c r="AE41" s="149"/>
      <c r="AF41" s="149"/>
      <c r="AG41" s="149"/>
      <c r="AH41" s="149"/>
      <c r="AI41" s="149"/>
      <c r="AJ41" s="149"/>
      <c r="AK41" s="149"/>
      <c r="AL41" s="149"/>
      <c r="AM41" s="149"/>
      <c r="AN41" s="149"/>
    </row>
    <row r="42" ht="17.25" customHeight="1">
      <c r="A42" s="121"/>
      <c r="B42" s="136" t="s">
        <v>58</v>
      </c>
      <c r="C42" s="190" t="s">
        <v>44</v>
      </c>
      <c r="D42" s="46"/>
      <c r="E42" s="46"/>
      <c r="F42" s="46"/>
      <c r="G42" s="46"/>
      <c r="H42" s="47"/>
      <c r="I42" s="151"/>
      <c r="J42" s="191" t="s">
        <v>45</v>
      </c>
      <c r="K42" s="46"/>
      <c r="L42" s="46"/>
      <c r="M42" s="46"/>
      <c r="N42" s="46"/>
      <c r="O42" s="47"/>
      <c r="P42" s="152"/>
      <c r="Q42" s="192" t="s">
        <v>46</v>
      </c>
      <c r="R42" s="46"/>
      <c r="S42" s="46"/>
      <c r="T42" s="46"/>
      <c r="U42" s="46"/>
      <c r="V42" s="47"/>
      <c r="W42" s="154"/>
      <c r="X42" s="193" t="s">
        <v>47</v>
      </c>
      <c r="Y42" s="46"/>
      <c r="Z42" s="46"/>
      <c r="AA42" s="46"/>
      <c r="AB42" s="46"/>
      <c r="AC42" s="47"/>
      <c r="AD42" s="153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</row>
    <row r="43" ht="17.25" customHeight="1">
      <c r="A43" s="121"/>
      <c r="B43" s="86"/>
      <c r="C43" s="194"/>
      <c r="D43" s="46"/>
      <c r="E43" s="46"/>
      <c r="F43" s="46"/>
      <c r="G43" s="46"/>
      <c r="H43" s="47"/>
      <c r="I43" s="195" t="b">
        <v>0</v>
      </c>
      <c r="J43" s="196"/>
      <c r="K43" s="46"/>
      <c r="L43" s="46"/>
      <c r="M43" s="46"/>
      <c r="N43" s="46"/>
      <c r="O43" s="47"/>
      <c r="P43" s="197" t="b">
        <v>0</v>
      </c>
      <c r="Q43" s="198"/>
      <c r="R43" s="46"/>
      <c r="S43" s="46"/>
      <c r="T43" s="46"/>
      <c r="U43" s="46"/>
      <c r="V43" s="47"/>
      <c r="W43" s="199" t="b">
        <v>0</v>
      </c>
      <c r="X43" s="200"/>
      <c r="Y43" s="46"/>
      <c r="Z43" s="46"/>
      <c r="AA43" s="46"/>
      <c r="AB43" s="46"/>
      <c r="AC43" s="47"/>
      <c r="AD43" s="201" t="b">
        <v>0</v>
      </c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</row>
    <row r="44" ht="17.25" customHeight="1">
      <c r="A44" s="121"/>
      <c r="B44" s="121"/>
      <c r="C44" s="194"/>
      <c r="D44" s="46"/>
      <c r="E44" s="46"/>
      <c r="F44" s="46"/>
      <c r="G44" s="46"/>
      <c r="H44" s="47"/>
      <c r="I44" s="195" t="b">
        <v>0</v>
      </c>
      <c r="J44" s="196"/>
      <c r="K44" s="46"/>
      <c r="L44" s="46"/>
      <c r="M44" s="46"/>
      <c r="N44" s="46"/>
      <c r="O44" s="47"/>
      <c r="P44" s="197" t="b">
        <v>0</v>
      </c>
      <c r="Q44" s="198"/>
      <c r="R44" s="46"/>
      <c r="S44" s="46"/>
      <c r="T44" s="46"/>
      <c r="U44" s="46"/>
      <c r="V44" s="47"/>
      <c r="W44" s="199" t="b">
        <v>0</v>
      </c>
      <c r="X44" s="200"/>
      <c r="Y44" s="46"/>
      <c r="Z44" s="46"/>
      <c r="AA44" s="46"/>
      <c r="AB44" s="46"/>
      <c r="AC44" s="47"/>
      <c r="AD44" s="201" t="b">
        <v>0</v>
      </c>
      <c r="AE44" s="121"/>
      <c r="AF44" s="121"/>
      <c r="AG44" s="202" t="s">
        <v>59</v>
      </c>
      <c r="AH44" s="121"/>
      <c r="AI44" s="121"/>
      <c r="AJ44" s="121"/>
      <c r="AK44" s="121"/>
      <c r="AL44" s="121"/>
      <c r="AM44" s="121"/>
      <c r="AN44" s="121"/>
    </row>
    <row r="45" ht="17.25" customHeight="1">
      <c r="A45" s="121"/>
      <c r="B45" s="121"/>
      <c r="C45" s="194"/>
      <c r="D45" s="46"/>
      <c r="E45" s="46"/>
      <c r="F45" s="46"/>
      <c r="G45" s="46"/>
      <c r="H45" s="47"/>
      <c r="I45" s="195" t="b">
        <v>0</v>
      </c>
      <c r="J45" s="196"/>
      <c r="K45" s="46"/>
      <c r="L45" s="46"/>
      <c r="M45" s="46"/>
      <c r="N45" s="46"/>
      <c r="O45" s="47"/>
      <c r="P45" s="197" t="b">
        <v>0</v>
      </c>
      <c r="Q45" s="198"/>
      <c r="R45" s="46"/>
      <c r="S45" s="46"/>
      <c r="T45" s="46"/>
      <c r="U45" s="46"/>
      <c r="V45" s="47"/>
      <c r="W45" s="199" t="b">
        <v>0</v>
      </c>
      <c r="X45" s="200"/>
      <c r="Y45" s="46"/>
      <c r="Z45" s="46"/>
      <c r="AA45" s="46"/>
      <c r="AB45" s="46"/>
      <c r="AC45" s="47"/>
      <c r="AD45" s="201" t="b">
        <v>0</v>
      </c>
      <c r="AE45" s="121"/>
      <c r="AF45" s="121"/>
      <c r="AG45" s="203">
        <v>9.0</v>
      </c>
      <c r="AH45" s="120"/>
      <c r="AI45" s="120"/>
      <c r="AJ45" s="120"/>
      <c r="AK45" s="120"/>
      <c r="AL45" s="120"/>
      <c r="AM45" s="120"/>
      <c r="AN45" s="120"/>
    </row>
    <row r="46" ht="17.25" customHeight="1">
      <c r="A46" s="121"/>
      <c r="B46" s="121"/>
      <c r="C46" s="194"/>
      <c r="D46" s="46"/>
      <c r="E46" s="46"/>
      <c r="F46" s="46"/>
      <c r="G46" s="46"/>
      <c r="H46" s="47"/>
      <c r="I46" s="195" t="b">
        <v>0</v>
      </c>
      <c r="J46" s="196"/>
      <c r="K46" s="46"/>
      <c r="L46" s="46"/>
      <c r="M46" s="46"/>
      <c r="N46" s="46"/>
      <c r="O46" s="47"/>
      <c r="P46" s="197" t="b">
        <v>0</v>
      </c>
      <c r="Q46" s="198"/>
      <c r="R46" s="46"/>
      <c r="S46" s="46"/>
      <c r="T46" s="46"/>
      <c r="U46" s="46"/>
      <c r="V46" s="47"/>
      <c r="W46" s="199" t="b">
        <v>0</v>
      </c>
      <c r="X46" s="200"/>
      <c r="Y46" s="46"/>
      <c r="Z46" s="46"/>
      <c r="AA46" s="46"/>
      <c r="AB46" s="46"/>
      <c r="AC46" s="47"/>
      <c r="AD46" s="201" t="b">
        <v>0</v>
      </c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</row>
    <row r="47" ht="17.25" customHeight="1">
      <c r="A47" s="121"/>
      <c r="B47" s="121"/>
      <c r="C47" s="194"/>
      <c r="D47" s="46"/>
      <c r="E47" s="46"/>
      <c r="F47" s="46"/>
      <c r="G47" s="46"/>
      <c r="H47" s="47"/>
      <c r="I47" s="195" t="b">
        <v>0</v>
      </c>
      <c r="J47" s="196"/>
      <c r="K47" s="46"/>
      <c r="L47" s="46"/>
      <c r="M47" s="46"/>
      <c r="N47" s="46"/>
      <c r="O47" s="47"/>
      <c r="P47" s="197" t="b">
        <v>0</v>
      </c>
      <c r="Q47" s="198"/>
      <c r="R47" s="46"/>
      <c r="S47" s="46"/>
      <c r="T47" s="46"/>
      <c r="U47" s="46"/>
      <c r="V47" s="47"/>
      <c r="W47" s="199" t="b">
        <v>0</v>
      </c>
      <c r="X47" s="200"/>
      <c r="Y47" s="46"/>
      <c r="Z47" s="46"/>
      <c r="AA47" s="46"/>
      <c r="AB47" s="46"/>
      <c r="AC47" s="47"/>
      <c r="AD47" s="201" t="b">
        <v>0</v>
      </c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</row>
    <row r="48" ht="17.25" customHeight="1">
      <c r="A48" s="121"/>
      <c r="B48" s="121"/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</row>
    <row r="49" ht="17.25" customHeight="1">
      <c r="A49" s="121"/>
      <c r="B49" s="136" t="s">
        <v>60</v>
      </c>
      <c r="C49" s="204"/>
      <c r="D49" s="50"/>
      <c r="E49" s="50"/>
      <c r="F49" s="50"/>
      <c r="G49" s="50"/>
      <c r="H49" s="50"/>
      <c r="I49" s="51"/>
      <c r="J49" s="204"/>
      <c r="K49" s="50"/>
      <c r="L49" s="50"/>
      <c r="M49" s="50"/>
      <c r="N49" s="50"/>
      <c r="O49" s="50"/>
      <c r="P49" s="51"/>
      <c r="Q49" s="204"/>
      <c r="R49" s="50"/>
      <c r="S49" s="50"/>
      <c r="T49" s="50"/>
      <c r="U49" s="50"/>
      <c r="V49" s="50"/>
      <c r="W49" s="51"/>
      <c r="X49" s="204"/>
      <c r="Y49" s="50"/>
      <c r="Z49" s="50"/>
      <c r="AA49" s="50"/>
      <c r="AB49" s="50"/>
      <c r="AC49" s="50"/>
      <c r="AD49" s="5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</row>
    <row r="50" ht="17.25" customHeight="1">
      <c r="A50" s="121"/>
      <c r="B50" s="205"/>
      <c r="C50" s="206"/>
      <c r="D50" s="55"/>
      <c r="E50" s="55"/>
      <c r="F50" s="55"/>
      <c r="G50" s="55"/>
      <c r="H50" s="55"/>
      <c r="I50" s="56"/>
      <c r="J50" s="206"/>
      <c r="K50" s="55"/>
      <c r="L50" s="55"/>
      <c r="M50" s="55"/>
      <c r="N50" s="55"/>
      <c r="O50" s="55"/>
      <c r="P50" s="56"/>
      <c r="Q50" s="206"/>
      <c r="R50" s="55"/>
      <c r="S50" s="55"/>
      <c r="T50" s="55"/>
      <c r="U50" s="55"/>
      <c r="V50" s="55"/>
      <c r="W50" s="56"/>
      <c r="X50" s="206"/>
      <c r="Y50" s="55"/>
      <c r="Z50" s="55"/>
      <c r="AA50" s="55"/>
      <c r="AB50" s="55"/>
      <c r="AC50" s="55"/>
      <c r="AD50" s="56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</row>
    <row r="51" ht="17.25" customHeight="1">
      <c r="A51" s="121"/>
      <c r="B51" s="86"/>
      <c r="C51" s="207"/>
      <c r="D51" s="60"/>
      <c r="E51" s="60"/>
      <c r="F51" s="60"/>
      <c r="G51" s="60"/>
      <c r="H51" s="60"/>
      <c r="I51" s="61"/>
      <c r="J51" s="207"/>
      <c r="K51" s="60"/>
      <c r="L51" s="60"/>
      <c r="M51" s="60"/>
      <c r="N51" s="60"/>
      <c r="O51" s="60"/>
      <c r="P51" s="61"/>
      <c r="Q51" s="207"/>
      <c r="R51" s="60"/>
      <c r="S51" s="60"/>
      <c r="T51" s="60"/>
      <c r="U51" s="60"/>
      <c r="V51" s="60"/>
      <c r="W51" s="61"/>
      <c r="X51" s="207"/>
      <c r="Y51" s="60"/>
      <c r="Z51" s="60"/>
      <c r="AA51" s="60"/>
      <c r="AB51" s="60"/>
      <c r="AC51" s="60"/>
      <c r="AD51" s="6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</row>
    <row r="52" ht="17.25" customHeight="1">
      <c r="A52" s="121"/>
      <c r="B52" s="121"/>
      <c r="C52" s="208"/>
      <c r="I52" s="170"/>
      <c r="J52" s="208"/>
      <c r="P52" s="170"/>
      <c r="Q52" s="208"/>
      <c r="W52" s="170"/>
      <c r="X52" s="208"/>
      <c r="AD52" s="170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</row>
    <row r="53" ht="17.25" customHeight="1">
      <c r="A53" s="121"/>
      <c r="B53" s="121"/>
      <c r="C53" s="121"/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</row>
    <row r="54" ht="17.25" customHeight="1">
      <c r="A54" s="121"/>
      <c r="B54" s="62" t="s">
        <v>61</v>
      </c>
      <c r="C54" s="209" t="s">
        <v>62</v>
      </c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7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</row>
    <row r="55" ht="17.25" customHeight="1">
      <c r="A55" s="121"/>
      <c r="B55" s="43"/>
      <c r="C55" s="210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7"/>
      <c r="P55" s="211" t="b">
        <v>0</v>
      </c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</row>
    <row r="56" ht="17.25" customHeight="1">
      <c r="A56" s="121"/>
      <c r="B56" s="212"/>
      <c r="C56" s="210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7"/>
      <c r="P56" s="211" t="b">
        <v>0</v>
      </c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</row>
    <row r="57" ht="17.25" customHeight="1">
      <c r="A57" s="121"/>
      <c r="B57" s="212"/>
      <c r="C57" s="210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7"/>
      <c r="P57" s="211" t="b">
        <v>0</v>
      </c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</row>
    <row r="58" ht="17.25" customHeight="1">
      <c r="A58" s="121"/>
      <c r="B58" s="212"/>
      <c r="C58" s="210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7"/>
      <c r="P58" s="211" t="b">
        <v>0</v>
      </c>
      <c r="Q58" s="121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  <c r="AL58" s="121"/>
      <c r="AM58" s="121"/>
      <c r="AN58" s="121"/>
    </row>
    <row r="59" ht="17.25" customHeight="1">
      <c r="A59" s="121"/>
      <c r="B59" s="212"/>
      <c r="C59" s="210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7"/>
      <c r="P59" s="211" t="b">
        <v>0</v>
      </c>
      <c r="Q59" s="121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1"/>
      <c r="AM59" s="121"/>
      <c r="AN59" s="121"/>
    </row>
    <row r="60" ht="17.25" customHeight="1">
      <c r="A60" s="121"/>
      <c r="B60" s="121"/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  <c r="AE60" s="121"/>
      <c r="AF60" s="121"/>
      <c r="AG60" s="121"/>
      <c r="AH60" s="121"/>
      <c r="AI60" s="121"/>
      <c r="AJ60" s="121"/>
      <c r="AK60" s="121"/>
      <c r="AL60" s="121"/>
      <c r="AM60" s="121"/>
      <c r="AN60" s="121"/>
    </row>
    <row r="61" ht="17.25" hidden="1" customHeight="1">
      <c r="A61" s="121"/>
      <c r="B61" s="121"/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1"/>
      <c r="AL61" s="121"/>
      <c r="AM61" s="121"/>
      <c r="AN61" s="121"/>
    </row>
    <row r="62" ht="17.25" hidden="1" customHeight="1">
      <c r="A62" s="121"/>
      <c r="B62" s="213">
        <f>COUNTIF($I$43:$I$47, true)</f>
        <v>0</v>
      </c>
      <c r="C62" s="214" t="str">
        <f t="array" ref="C62:H66">$C$43:$H$47</f>
        <v/>
      </c>
      <c r="D62" s="214"/>
      <c r="E62" s="214"/>
      <c r="F62" s="214"/>
      <c r="G62" s="214"/>
      <c r="H62" s="214"/>
      <c r="I62" s="213">
        <f t="array" ref="I62">COUNTA(UNIQUE($C$62:$C$140))</f>
        <v>0</v>
      </c>
      <c r="J62" s="215">
        <f>sum($B$62,$B$78,$B$110,$B$126)</f>
        <v>0</v>
      </c>
      <c r="K62" s="213">
        <f>sum(COUNTA($I$43:$I$47),COUNTA($P$43:$P$47),COUNTA($W$43:$W$47),COUNTA($AD$43:$AD$47),COUNTA($P$55:$P$59))</f>
        <v>25</v>
      </c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121"/>
      <c r="AK62" s="121"/>
      <c r="AL62" s="121"/>
      <c r="AM62" s="121"/>
      <c r="AN62" s="121"/>
    </row>
    <row r="63" ht="17.25" hidden="1" customHeight="1">
      <c r="A63" s="121"/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 s="121"/>
      <c r="AH63" s="121"/>
      <c r="AI63" s="121"/>
      <c r="AJ63" s="121"/>
      <c r="AK63" s="121"/>
      <c r="AL63" s="121"/>
      <c r="AM63" s="121"/>
      <c r="AN63" s="121"/>
    </row>
    <row r="64" ht="17.25" hidden="1" customHeight="1">
      <c r="A64" s="121"/>
      <c r="B64" s="214"/>
      <c r="C64" s="214"/>
      <c r="D64" s="214"/>
      <c r="E64" s="214"/>
      <c r="F64" s="214"/>
      <c r="G64" s="214"/>
      <c r="H64" s="214"/>
      <c r="I64" s="214"/>
      <c r="J64" s="214"/>
      <c r="K64" s="214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121"/>
      <c r="AK64" s="121"/>
      <c r="AL64" s="121"/>
      <c r="AM64" s="121"/>
      <c r="AN64" s="121"/>
    </row>
    <row r="65" ht="17.25" hidden="1" customHeight="1">
      <c r="A65" s="121"/>
      <c r="B65" s="214"/>
      <c r="C65" s="214"/>
      <c r="D65" s="214"/>
      <c r="E65" s="214"/>
      <c r="F65" s="214"/>
      <c r="G65" s="214"/>
      <c r="H65" s="214"/>
      <c r="I65" s="214"/>
      <c r="J65" s="214"/>
      <c r="K65" s="214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1"/>
      <c r="AI65" s="121"/>
      <c r="AJ65" s="121"/>
      <c r="AK65" s="121"/>
      <c r="AL65" s="121"/>
      <c r="AM65" s="121"/>
      <c r="AN65" s="121"/>
    </row>
    <row r="66" ht="17.25" hidden="1" customHeight="1">
      <c r="A66" s="121"/>
      <c r="B66" s="214"/>
      <c r="C66" s="214"/>
      <c r="D66" s="214"/>
      <c r="E66" s="214"/>
      <c r="F66" s="214"/>
      <c r="G66" s="214"/>
      <c r="H66" s="214"/>
      <c r="I66" s="214"/>
      <c r="J66" s="214"/>
      <c r="K66" s="214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  <c r="AA66" s="121"/>
      <c r="AB66" s="121"/>
      <c r="AC66" s="121"/>
      <c r="AD66" s="121"/>
      <c r="AE66" s="121"/>
      <c r="AF66" s="121"/>
      <c r="AG66" s="121"/>
      <c r="AH66" s="121"/>
      <c r="AI66" s="121"/>
      <c r="AJ66" s="121"/>
      <c r="AK66" s="121"/>
      <c r="AL66" s="121"/>
      <c r="AM66" s="121"/>
      <c r="AN66" s="121"/>
    </row>
    <row r="67" ht="17.25" hidden="1" customHeight="1">
      <c r="A67" s="121"/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1"/>
      <c r="AJ67" s="121"/>
      <c r="AK67" s="121"/>
      <c r="AL67" s="121"/>
      <c r="AM67" s="121"/>
      <c r="AN67" s="121"/>
    </row>
    <row r="68" ht="17.25" hidden="1" customHeight="1">
      <c r="A68" s="121"/>
      <c r="B68" s="214"/>
      <c r="C68" s="214"/>
      <c r="D68" s="214"/>
      <c r="E68" s="214"/>
      <c r="F68" s="214"/>
      <c r="G68" s="214"/>
      <c r="H68" s="214"/>
      <c r="I68" s="214"/>
      <c r="J68" s="214"/>
      <c r="K68" s="214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  <c r="AA68" s="121"/>
      <c r="AB68" s="121"/>
      <c r="AC68" s="121"/>
      <c r="AD68" s="121"/>
      <c r="AE68" s="121"/>
      <c r="AF68" s="121"/>
      <c r="AG68" s="121"/>
      <c r="AH68" s="121"/>
      <c r="AI68" s="121"/>
      <c r="AJ68" s="121"/>
      <c r="AK68" s="121"/>
      <c r="AL68" s="121"/>
      <c r="AM68" s="121"/>
      <c r="AN68" s="121"/>
    </row>
    <row r="69" ht="17.25" hidden="1" customHeight="1">
      <c r="A69" s="121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  <c r="AC69" s="121"/>
      <c r="AD69" s="121"/>
      <c r="AE69" s="121"/>
      <c r="AF69" s="121"/>
      <c r="AG69" s="121"/>
      <c r="AH69" s="121"/>
      <c r="AI69" s="121"/>
      <c r="AJ69" s="121"/>
      <c r="AK69" s="121"/>
      <c r="AL69" s="121"/>
      <c r="AM69" s="121"/>
      <c r="AN69" s="121"/>
    </row>
    <row r="70" ht="17.25" hidden="1" customHeight="1">
      <c r="A70" s="121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  <c r="AC70" s="121"/>
      <c r="AD70" s="121"/>
      <c r="AE70" s="121"/>
      <c r="AF70" s="121"/>
      <c r="AG70" s="121"/>
      <c r="AH70" s="121"/>
      <c r="AI70" s="121"/>
      <c r="AJ70" s="121"/>
      <c r="AK70" s="121"/>
      <c r="AL70" s="121"/>
      <c r="AM70" s="121"/>
      <c r="AN70" s="121"/>
    </row>
    <row r="71" ht="17.25" hidden="1" customHeight="1">
      <c r="A71" s="121"/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  <c r="AD71" s="121"/>
      <c r="AE71" s="121"/>
      <c r="AF71" s="121"/>
      <c r="AG71" s="121"/>
      <c r="AH71" s="121"/>
      <c r="AI71" s="121"/>
      <c r="AJ71" s="121"/>
      <c r="AK71" s="121"/>
      <c r="AL71" s="121"/>
      <c r="AM71" s="121"/>
      <c r="AN71" s="121"/>
    </row>
    <row r="72" ht="17.25" hidden="1" customHeight="1">
      <c r="A72" s="121"/>
      <c r="B72" s="214"/>
      <c r="C72" s="214"/>
      <c r="D72" s="214"/>
      <c r="E72" s="214"/>
      <c r="F72" s="214"/>
      <c r="G72" s="214"/>
      <c r="H72" s="214"/>
      <c r="I72" s="214"/>
      <c r="J72" s="214"/>
      <c r="K72" s="214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  <c r="AD72" s="121"/>
      <c r="AE72" s="121"/>
      <c r="AF72" s="121"/>
      <c r="AG72" s="121"/>
      <c r="AH72" s="121"/>
      <c r="AI72" s="121"/>
      <c r="AJ72" s="121"/>
      <c r="AK72" s="121"/>
      <c r="AL72" s="121"/>
      <c r="AM72" s="121"/>
      <c r="AN72" s="121"/>
    </row>
    <row r="73" ht="17.25" hidden="1" customHeight="1">
      <c r="A73" s="121"/>
      <c r="B73" s="214"/>
      <c r="C73" s="214"/>
      <c r="D73" s="214"/>
      <c r="E73" s="214"/>
      <c r="F73" s="214"/>
      <c r="G73" s="214"/>
      <c r="H73" s="214"/>
      <c r="I73" s="214"/>
      <c r="J73" s="214"/>
      <c r="K73" s="214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  <c r="AA73" s="121"/>
      <c r="AB73" s="121"/>
      <c r="AC73" s="121"/>
      <c r="AD73" s="121"/>
      <c r="AE73" s="121"/>
      <c r="AF73" s="121"/>
      <c r="AG73" s="121"/>
      <c r="AH73" s="121"/>
      <c r="AI73" s="121"/>
      <c r="AJ73" s="121"/>
      <c r="AK73" s="121"/>
      <c r="AL73" s="121"/>
      <c r="AM73" s="121"/>
      <c r="AN73" s="121"/>
    </row>
    <row r="74" ht="17.25" hidden="1" customHeight="1">
      <c r="A74" s="121"/>
      <c r="B74" s="214"/>
      <c r="C74" s="214"/>
      <c r="D74" s="214"/>
      <c r="E74" s="214"/>
      <c r="F74" s="214"/>
      <c r="G74" s="214"/>
      <c r="H74" s="214"/>
      <c r="I74" s="214"/>
      <c r="J74" s="214"/>
      <c r="K74" s="214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  <c r="AD74" s="121"/>
      <c r="AE74" s="121"/>
      <c r="AF74" s="121"/>
      <c r="AG74" s="121"/>
      <c r="AH74" s="121"/>
      <c r="AI74" s="121"/>
      <c r="AJ74" s="121"/>
      <c r="AK74" s="121"/>
      <c r="AL74" s="121"/>
      <c r="AM74" s="121"/>
      <c r="AN74" s="121"/>
    </row>
    <row r="75" ht="17.25" hidden="1" customHeight="1">
      <c r="A75" s="121"/>
      <c r="B75" s="214"/>
      <c r="C75" s="214"/>
      <c r="D75" s="214"/>
      <c r="E75" s="214"/>
      <c r="F75" s="214"/>
      <c r="G75" s="214"/>
      <c r="H75" s="214"/>
      <c r="I75" s="214"/>
      <c r="J75" s="214"/>
      <c r="K75" s="214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  <c r="AD75" s="121"/>
      <c r="AE75" s="121"/>
      <c r="AF75" s="121"/>
      <c r="AG75" s="121"/>
      <c r="AH75" s="121"/>
      <c r="AI75" s="121"/>
      <c r="AJ75" s="121"/>
      <c r="AK75" s="121"/>
      <c r="AL75" s="121"/>
      <c r="AM75" s="121"/>
      <c r="AN75" s="121"/>
    </row>
    <row r="76" ht="17.25" hidden="1" customHeight="1">
      <c r="A76" s="121"/>
      <c r="B76" s="214"/>
      <c r="C76" s="214"/>
      <c r="D76" s="214"/>
      <c r="E76" s="214"/>
      <c r="F76" s="214"/>
      <c r="G76" s="214"/>
      <c r="H76" s="214"/>
      <c r="I76" s="214"/>
      <c r="J76" s="214"/>
      <c r="K76" s="214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  <c r="AC76" s="121"/>
      <c r="AD76" s="121"/>
      <c r="AE76" s="121"/>
      <c r="AF76" s="121"/>
      <c r="AG76" s="121"/>
      <c r="AH76" s="121"/>
      <c r="AI76" s="121"/>
      <c r="AJ76" s="121"/>
      <c r="AK76" s="121"/>
      <c r="AL76" s="121"/>
      <c r="AM76" s="121"/>
      <c r="AN76" s="121"/>
    </row>
    <row r="77" ht="17.25" hidden="1" customHeight="1">
      <c r="A77" s="121"/>
      <c r="B77" s="214"/>
      <c r="C77" s="214"/>
      <c r="D77" s="214"/>
      <c r="E77" s="214"/>
      <c r="F77" s="214"/>
      <c r="G77" s="214"/>
      <c r="H77" s="214"/>
      <c r="I77" s="214"/>
      <c r="J77" s="214"/>
      <c r="K77" s="214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  <c r="AD77" s="121"/>
      <c r="AE77" s="121"/>
      <c r="AF77" s="121"/>
      <c r="AG77" s="121"/>
      <c r="AH77" s="121"/>
      <c r="AI77" s="121"/>
      <c r="AJ77" s="121"/>
      <c r="AK77" s="121"/>
      <c r="AL77" s="121"/>
      <c r="AM77" s="121"/>
      <c r="AN77" s="121"/>
    </row>
    <row r="78" ht="17.25" hidden="1" customHeight="1">
      <c r="A78" s="121"/>
      <c r="B78" s="213">
        <f>COUNTIF($P$43:$P$47, true)</f>
        <v>0</v>
      </c>
      <c r="C78" s="214" t="str">
        <f t="array" ref="C78:H82">$J$43:$O$47</f>
        <v/>
      </c>
      <c r="D78" s="214"/>
      <c r="E78" s="214"/>
      <c r="F78" s="214"/>
      <c r="G78" s="214"/>
      <c r="H78" s="214"/>
      <c r="I78" s="214"/>
      <c r="J78" s="214"/>
      <c r="K78" s="214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  <c r="AD78" s="121"/>
      <c r="AE78" s="121"/>
      <c r="AF78" s="121"/>
      <c r="AG78" s="121"/>
      <c r="AH78" s="121"/>
      <c r="AI78" s="121"/>
      <c r="AJ78" s="121"/>
      <c r="AK78" s="121"/>
      <c r="AL78" s="121"/>
      <c r="AM78" s="121"/>
      <c r="AN78" s="121"/>
    </row>
    <row r="79" ht="17.25" hidden="1" customHeight="1">
      <c r="A79" s="121"/>
      <c r="B79" s="214"/>
      <c r="C79" s="214"/>
      <c r="D79" s="214"/>
      <c r="E79" s="214"/>
      <c r="F79" s="214"/>
      <c r="G79" s="214"/>
      <c r="H79" s="214"/>
      <c r="I79" s="214"/>
      <c r="J79" s="214"/>
      <c r="K79" s="214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  <c r="AC79" s="121"/>
      <c r="AD79" s="121"/>
      <c r="AE79" s="121"/>
      <c r="AF79" s="121"/>
      <c r="AG79" s="121"/>
      <c r="AH79" s="121"/>
      <c r="AI79" s="121"/>
      <c r="AJ79" s="121"/>
      <c r="AK79" s="121"/>
      <c r="AL79" s="121"/>
      <c r="AM79" s="121"/>
      <c r="AN79" s="121"/>
    </row>
    <row r="80" ht="17.25" hidden="1" customHeight="1">
      <c r="A80" s="121"/>
      <c r="B80" s="214"/>
      <c r="C80" s="214"/>
      <c r="D80" s="214"/>
      <c r="E80" s="214"/>
      <c r="F80" s="214"/>
      <c r="G80" s="214"/>
      <c r="H80" s="214"/>
      <c r="I80" s="214"/>
      <c r="J80" s="214"/>
      <c r="K80" s="214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  <c r="AA80" s="121"/>
      <c r="AB80" s="121"/>
      <c r="AC80" s="121"/>
      <c r="AD80" s="121"/>
      <c r="AE80" s="121"/>
      <c r="AF80" s="121"/>
      <c r="AG80" s="121"/>
      <c r="AH80" s="121"/>
      <c r="AI80" s="121"/>
      <c r="AJ80" s="121"/>
      <c r="AK80" s="121"/>
      <c r="AL80" s="121"/>
      <c r="AM80" s="121"/>
      <c r="AN80" s="121"/>
    </row>
    <row r="81" ht="17.25" hidden="1" customHeight="1">
      <c r="A81" s="121"/>
      <c r="B81" s="214"/>
      <c r="C81" s="214"/>
      <c r="D81" s="214"/>
      <c r="E81" s="214"/>
      <c r="F81" s="214"/>
      <c r="G81" s="214"/>
      <c r="H81" s="214"/>
      <c r="I81" s="214"/>
      <c r="J81" s="214"/>
      <c r="K81" s="214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1"/>
      <c r="AG81" s="121"/>
      <c r="AH81" s="121"/>
      <c r="AI81" s="121"/>
      <c r="AJ81" s="121"/>
      <c r="AK81" s="121"/>
      <c r="AL81" s="121"/>
      <c r="AM81" s="121"/>
      <c r="AN81" s="121"/>
    </row>
    <row r="82" ht="17.25" hidden="1" customHeight="1">
      <c r="A82" s="121"/>
      <c r="B82" s="214"/>
      <c r="C82" s="214"/>
      <c r="D82" s="214"/>
      <c r="E82" s="214"/>
      <c r="F82" s="214"/>
      <c r="G82" s="214"/>
      <c r="H82" s="214"/>
      <c r="I82" s="214"/>
      <c r="J82" s="214"/>
      <c r="K82" s="214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</row>
    <row r="83" ht="17.25" hidden="1" customHeight="1">
      <c r="A83" s="121"/>
      <c r="B83" s="214"/>
      <c r="C83" s="214"/>
      <c r="D83" s="214"/>
      <c r="E83" s="214"/>
      <c r="F83" s="214"/>
      <c r="G83" s="214"/>
      <c r="H83" s="214"/>
      <c r="I83" s="214"/>
      <c r="J83" s="214"/>
      <c r="K83" s="214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</row>
    <row r="84" ht="17.25" hidden="1" customHeight="1">
      <c r="A84" s="121"/>
      <c r="B84" s="214"/>
      <c r="C84" s="214"/>
      <c r="D84" s="214"/>
      <c r="E84" s="214"/>
      <c r="F84" s="214"/>
      <c r="G84" s="214"/>
      <c r="H84" s="214"/>
      <c r="I84" s="214"/>
      <c r="J84" s="214"/>
      <c r="K84" s="214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1"/>
      <c r="AE84" s="121"/>
      <c r="AF84" s="121"/>
      <c r="AG84" s="121"/>
      <c r="AH84" s="121"/>
      <c r="AI84" s="121"/>
      <c r="AJ84" s="121"/>
      <c r="AK84" s="121"/>
      <c r="AL84" s="121"/>
      <c r="AM84" s="121"/>
      <c r="AN84" s="121"/>
    </row>
    <row r="85" ht="17.25" hidden="1" customHeight="1">
      <c r="A85" s="121"/>
      <c r="B85" s="214"/>
      <c r="C85" s="214"/>
      <c r="D85" s="214"/>
      <c r="E85" s="214"/>
      <c r="F85" s="214"/>
      <c r="G85" s="214"/>
      <c r="H85" s="214"/>
      <c r="I85" s="214"/>
      <c r="J85" s="214"/>
      <c r="K85" s="214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1"/>
      <c r="AL85" s="121"/>
      <c r="AM85" s="121"/>
      <c r="AN85" s="121"/>
    </row>
    <row r="86" ht="17.25" hidden="1" customHeight="1">
      <c r="A86" s="121"/>
      <c r="B86" s="214"/>
      <c r="C86" s="214"/>
      <c r="D86" s="214"/>
      <c r="E86" s="214"/>
      <c r="F86" s="214"/>
      <c r="G86" s="214"/>
      <c r="H86" s="214"/>
      <c r="I86" s="214"/>
      <c r="J86" s="214"/>
      <c r="K86" s="214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</row>
    <row r="87" ht="17.25" hidden="1" customHeight="1">
      <c r="A87" s="121"/>
      <c r="B87" s="214"/>
      <c r="C87" s="214"/>
      <c r="D87" s="214"/>
      <c r="E87" s="214"/>
      <c r="F87" s="214"/>
      <c r="G87" s="214"/>
      <c r="H87" s="214"/>
      <c r="I87" s="214"/>
      <c r="J87" s="214"/>
      <c r="K87" s="214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</row>
    <row r="88" ht="17.25" hidden="1" customHeight="1">
      <c r="A88" s="121"/>
      <c r="B88" s="214"/>
      <c r="C88" s="214"/>
      <c r="D88" s="214"/>
      <c r="E88" s="214"/>
      <c r="F88" s="214"/>
      <c r="G88" s="214"/>
      <c r="H88" s="214"/>
      <c r="I88" s="214"/>
      <c r="J88" s="214"/>
      <c r="K88" s="214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</row>
    <row r="89" ht="17.25" hidden="1" customHeight="1">
      <c r="A89" s="121"/>
      <c r="B89" s="214"/>
      <c r="C89" s="214"/>
      <c r="D89" s="214"/>
      <c r="E89" s="214"/>
      <c r="F89" s="214"/>
      <c r="G89" s="214"/>
      <c r="H89" s="214"/>
      <c r="I89" s="214"/>
      <c r="J89" s="214"/>
      <c r="K89" s="214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</row>
    <row r="90" ht="17.25" hidden="1" customHeight="1">
      <c r="A90" s="121"/>
      <c r="B90" s="214"/>
      <c r="C90" s="214"/>
      <c r="D90" s="214"/>
      <c r="E90" s="214"/>
      <c r="F90" s="214"/>
      <c r="G90" s="214"/>
      <c r="H90" s="214"/>
      <c r="I90" s="214"/>
      <c r="J90" s="214"/>
      <c r="K90" s="214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</row>
    <row r="91" ht="17.25" hidden="1" customHeight="1">
      <c r="A91" s="121"/>
      <c r="B91" s="214"/>
      <c r="C91" s="214"/>
      <c r="D91" s="214"/>
      <c r="E91" s="214"/>
      <c r="F91" s="214"/>
      <c r="G91" s="214"/>
      <c r="H91" s="214"/>
      <c r="I91" s="214"/>
      <c r="J91" s="214"/>
      <c r="K91" s="214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</row>
    <row r="92" ht="17.25" hidden="1" customHeight="1">
      <c r="A92" s="121"/>
      <c r="B92" s="214"/>
      <c r="C92" s="214"/>
      <c r="D92" s="214"/>
      <c r="E92" s="214"/>
      <c r="F92" s="214"/>
      <c r="G92" s="214"/>
      <c r="H92" s="214"/>
      <c r="I92" s="214"/>
      <c r="J92" s="214"/>
      <c r="K92" s="214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</row>
    <row r="93" ht="17.25" hidden="1" customHeight="1">
      <c r="A93" s="121"/>
      <c r="B93" s="214"/>
      <c r="C93" s="214"/>
      <c r="D93" s="214"/>
      <c r="E93" s="214"/>
      <c r="F93" s="214"/>
      <c r="G93" s="214"/>
      <c r="H93" s="214"/>
      <c r="I93" s="214"/>
      <c r="J93" s="214"/>
      <c r="K93" s="214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</row>
    <row r="94" ht="17.25" hidden="1" customHeight="1">
      <c r="A94" s="121"/>
      <c r="B94" s="213">
        <f>COUNTIF($W$43:$W$47, true)</f>
        <v>0</v>
      </c>
      <c r="C94" s="214" t="str">
        <f t="array" ref="C94:H98">$Q$43:$V$47</f>
        <v/>
      </c>
      <c r="D94" s="214"/>
      <c r="E94" s="214"/>
      <c r="F94" s="214"/>
      <c r="G94" s="214"/>
      <c r="H94" s="214"/>
      <c r="I94" s="214"/>
      <c r="J94" s="214"/>
      <c r="K94" s="214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</row>
    <row r="95" ht="17.25" hidden="1" customHeight="1">
      <c r="A95" s="121"/>
      <c r="B95" s="214"/>
      <c r="C95" s="214"/>
      <c r="D95" s="214"/>
      <c r="E95" s="214"/>
      <c r="F95" s="214"/>
      <c r="G95" s="214"/>
      <c r="H95" s="214"/>
      <c r="I95" s="214"/>
      <c r="J95" s="214"/>
      <c r="K95" s="214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</row>
    <row r="96" ht="17.25" hidden="1" customHeight="1">
      <c r="A96" s="121"/>
      <c r="B96" s="214"/>
      <c r="C96" s="214"/>
      <c r="D96" s="214"/>
      <c r="E96" s="214"/>
      <c r="F96" s="214"/>
      <c r="G96" s="214"/>
      <c r="H96" s="214"/>
      <c r="I96" s="214"/>
      <c r="J96" s="214"/>
      <c r="K96" s="214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1"/>
      <c r="AH96" s="121"/>
      <c r="AI96" s="121"/>
      <c r="AJ96" s="121"/>
      <c r="AK96" s="121"/>
      <c r="AL96" s="121"/>
      <c r="AM96" s="121"/>
      <c r="AN96" s="121"/>
    </row>
    <row r="97" ht="17.25" hidden="1" customHeight="1">
      <c r="A97" s="121"/>
      <c r="B97" s="214"/>
      <c r="C97" s="214"/>
      <c r="D97" s="214"/>
      <c r="E97" s="214"/>
      <c r="F97" s="214"/>
      <c r="G97" s="214"/>
      <c r="H97" s="214"/>
      <c r="I97" s="214"/>
      <c r="J97" s="214"/>
      <c r="K97" s="214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  <c r="AA97" s="121"/>
      <c r="AB97" s="121"/>
      <c r="AC97" s="121"/>
      <c r="AD97" s="121"/>
      <c r="AE97" s="121"/>
      <c r="AF97" s="121"/>
      <c r="AG97" s="121"/>
      <c r="AH97" s="121"/>
      <c r="AI97" s="121"/>
      <c r="AJ97" s="121"/>
      <c r="AK97" s="121"/>
      <c r="AL97" s="121"/>
      <c r="AM97" s="121"/>
      <c r="AN97" s="121"/>
    </row>
    <row r="98" ht="17.25" hidden="1" customHeight="1">
      <c r="A98" s="121"/>
      <c r="B98" s="214"/>
      <c r="C98" s="214"/>
      <c r="D98" s="214"/>
      <c r="E98" s="214"/>
      <c r="F98" s="214"/>
      <c r="G98" s="214"/>
      <c r="H98" s="214"/>
      <c r="I98" s="214"/>
      <c r="J98" s="214"/>
      <c r="K98" s="214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1"/>
      <c r="AH98" s="121"/>
      <c r="AI98" s="121"/>
      <c r="AJ98" s="121"/>
      <c r="AK98" s="121"/>
      <c r="AL98" s="121"/>
      <c r="AM98" s="121"/>
      <c r="AN98" s="121"/>
    </row>
    <row r="99" ht="17.25" hidden="1" customHeight="1">
      <c r="A99" s="121"/>
      <c r="B99" s="214"/>
      <c r="C99" s="214"/>
      <c r="D99" s="214"/>
      <c r="E99" s="214"/>
      <c r="F99" s="214"/>
      <c r="G99" s="214"/>
      <c r="H99" s="214"/>
      <c r="I99" s="214"/>
      <c r="J99" s="214"/>
      <c r="K99" s="214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  <c r="AA99" s="121"/>
      <c r="AB99" s="121"/>
      <c r="AC99" s="121"/>
      <c r="AD99" s="121"/>
      <c r="AE99" s="121"/>
      <c r="AF99" s="121"/>
      <c r="AG99" s="121"/>
      <c r="AH99" s="121"/>
      <c r="AI99" s="121"/>
      <c r="AJ99" s="121"/>
      <c r="AK99" s="121"/>
      <c r="AL99" s="121"/>
      <c r="AM99" s="121"/>
      <c r="AN99" s="121"/>
    </row>
    <row r="100" ht="17.25" hidden="1" customHeight="1">
      <c r="A100" s="121"/>
      <c r="B100" s="214"/>
      <c r="C100" s="214"/>
      <c r="D100" s="214"/>
      <c r="E100" s="214"/>
      <c r="F100" s="214"/>
      <c r="G100" s="214"/>
      <c r="H100" s="214"/>
      <c r="I100" s="214"/>
      <c r="J100" s="214"/>
      <c r="K100" s="214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  <c r="AA100" s="121"/>
      <c r="AB100" s="121"/>
      <c r="AC100" s="121"/>
      <c r="AD100" s="121"/>
      <c r="AE100" s="121"/>
      <c r="AF100" s="121"/>
      <c r="AG100" s="121"/>
      <c r="AH100" s="121"/>
      <c r="AI100" s="121"/>
      <c r="AJ100" s="121"/>
      <c r="AK100" s="121"/>
      <c r="AL100" s="121"/>
      <c r="AM100" s="121"/>
      <c r="AN100" s="121"/>
    </row>
    <row r="101" ht="17.25" hidden="1" customHeight="1">
      <c r="A101" s="121"/>
      <c r="B101" s="214"/>
      <c r="C101" s="214"/>
      <c r="D101" s="214"/>
      <c r="E101" s="214"/>
      <c r="F101" s="214"/>
      <c r="G101" s="214"/>
      <c r="H101" s="214"/>
      <c r="I101" s="214"/>
      <c r="J101" s="214"/>
      <c r="K101" s="214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  <c r="AA101" s="121"/>
      <c r="AB101" s="121"/>
      <c r="AC101" s="121"/>
      <c r="AD101" s="121"/>
      <c r="AE101" s="121"/>
      <c r="AF101" s="121"/>
      <c r="AG101" s="121"/>
      <c r="AH101" s="121"/>
      <c r="AI101" s="121"/>
      <c r="AJ101" s="121"/>
      <c r="AK101" s="121"/>
      <c r="AL101" s="121"/>
      <c r="AM101" s="121"/>
      <c r="AN101" s="121"/>
    </row>
    <row r="102" ht="17.25" hidden="1" customHeight="1">
      <c r="A102" s="121"/>
      <c r="B102" s="214"/>
      <c r="C102" s="214"/>
      <c r="D102" s="214"/>
      <c r="E102" s="214"/>
      <c r="F102" s="214"/>
      <c r="G102" s="214"/>
      <c r="H102" s="214"/>
      <c r="I102" s="214"/>
      <c r="J102" s="214"/>
      <c r="K102" s="214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  <c r="AA102" s="121"/>
      <c r="AB102" s="121"/>
      <c r="AC102" s="121"/>
      <c r="AD102" s="121"/>
      <c r="AE102" s="121"/>
      <c r="AF102" s="121"/>
      <c r="AG102" s="121"/>
      <c r="AH102" s="121"/>
      <c r="AI102" s="121"/>
      <c r="AJ102" s="121"/>
      <c r="AK102" s="121"/>
      <c r="AL102" s="121"/>
      <c r="AM102" s="121"/>
      <c r="AN102" s="121"/>
    </row>
    <row r="103" ht="17.25" hidden="1" customHeight="1">
      <c r="A103" s="121"/>
      <c r="B103" s="214"/>
      <c r="C103" s="214"/>
      <c r="D103" s="214"/>
      <c r="E103" s="214"/>
      <c r="F103" s="214"/>
      <c r="G103" s="214"/>
      <c r="H103" s="214"/>
      <c r="I103" s="214"/>
      <c r="J103" s="214"/>
      <c r="K103" s="214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  <c r="AA103" s="121"/>
      <c r="AB103" s="121"/>
      <c r="AC103" s="121"/>
      <c r="AD103" s="121"/>
      <c r="AE103" s="121"/>
      <c r="AF103" s="121"/>
      <c r="AG103" s="121"/>
      <c r="AH103" s="121"/>
      <c r="AI103" s="121"/>
      <c r="AJ103" s="121"/>
      <c r="AK103" s="121"/>
      <c r="AL103" s="121"/>
      <c r="AM103" s="121"/>
      <c r="AN103" s="121"/>
    </row>
    <row r="104" ht="17.25" hidden="1" customHeight="1">
      <c r="A104" s="121"/>
      <c r="B104" s="214"/>
      <c r="C104" s="214"/>
      <c r="D104" s="214"/>
      <c r="E104" s="214"/>
      <c r="F104" s="214"/>
      <c r="G104" s="214"/>
      <c r="H104" s="214"/>
      <c r="I104" s="214"/>
      <c r="J104" s="214"/>
      <c r="K104" s="214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  <c r="AA104" s="121"/>
      <c r="AB104" s="121"/>
      <c r="AC104" s="121"/>
      <c r="AD104" s="121"/>
      <c r="AE104" s="121"/>
      <c r="AF104" s="121"/>
      <c r="AG104" s="121"/>
      <c r="AH104" s="121"/>
      <c r="AI104" s="121"/>
      <c r="AJ104" s="121"/>
      <c r="AK104" s="121"/>
      <c r="AL104" s="121"/>
      <c r="AM104" s="121"/>
      <c r="AN104" s="121"/>
    </row>
    <row r="105" ht="17.25" hidden="1" customHeight="1">
      <c r="A105" s="121"/>
      <c r="B105" s="214"/>
      <c r="C105" s="214"/>
      <c r="D105" s="214"/>
      <c r="E105" s="214"/>
      <c r="F105" s="214"/>
      <c r="G105" s="214"/>
      <c r="H105" s="214"/>
      <c r="I105" s="214"/>
      <c r="J105" s="214"/>
      <c r="K105" s="214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  <c r="AA105" s="121"/>
      <c r="AB105" s="121"/>
      <c r="AC105" s="121"/>
      <c r="AD105" s="121"/>
      <c r="AE105" s="121"/>
      <c r="AF105" s="121"/>
      <c r="AG105" s="121"/>
      <c r="AH105" s="121"/>
      <c r="AI105" s="121"/>
      <c r="AJ105" s="121"/>
      <c r="AK105" s="121"/>
      <c r="AL105" s="121"/>
      <c r="AM105" s="121"/>
      <c r="AN105" s="121"/>
    </row>
    <row r="106" ht="17.25" hidden="1" customHeight="1">
      <c r="A106" s="121"/>
      <c r="B106" s="214"/>
      <c r="C106" s="214"/>
      <c r="D106" s="214"/>
      <c r="E106" s="214"/>
      <c r="F106" s="214"/>
      <c r="G106" s="214"/>
      <c r="H106" s="214"/>
      <c r="I106" s="214"/>
      <c r="J106" s="214"/>
      <c r="K106" s="214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  <c r="AA106" s="121"/>
      <c r="AB106" s="121"/>
      <c r="AC106" s="121"/>
      <c r="AD106" s="121"/>
      <c r="AE106" s="121"/>
      <c r="AF106" s="121"/>
      <c r="AG106" s="121"/>
      <c r="AH106" s="121"/>
      <c r="AI106" s="121"/>
      <c r="AJ106" s="121"/>
      <c r="AK106" s="121"/>
      <c r="AL106" s="121"/>
      <c r="AM106" s="121"/>
      <c r="AN106" s="121"/>
    </row>
    <row r="107" ht="17.25" hidden="1" customHeight="1">
      <c r="A107" s="121"/>
      <c r="B107" s="214"/>
      <c r="C107" s="214"/>
      <c r="D107" s="214"/>
      <c r="E107" s="214"/>
      <c r="F107" s="214"/>
      <c r="G107" s="214"/>
      <c r="H107" s="214"/>
      <c r="I107" s="214"/>
      <c r="J107" s="214"/>
      <c r="K107" s="214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  <c r="AA107" s="121"/>
      <c r="AB107" s="121"/>
      <c r="AC107" s="121"/>
      <c r="AD107" s="121"/>
      <c r="AE107" s="121"/>
      <c r="AF107" s="121"/>
      <c r="AG107" s="121"/>
      <c r="AH107" s="121"/>
      <c r="AI107" s="121"/>
      <c r="AJ107" s="121"/>
      <c r="AK107" s="121"/>
      <c r="AL107" s="121"/>
      <c r="AM107" s="121"/>
      <c r="AN107" s="121"/>
    </row>
    <row r="108" ht="17.25" hidden="1" customHeight="1">
      <c r="A108" s="121"/>
      <c r="B108" s="214"/>
      <c r="C108" s="214"/>
      <c r="D108" s="214"/>
      <c r="E108" s="214"/>
      <c r="F108" s="214"/>
      <c r="G108" s="214"/>
      <c r="H108" s="214"/>
      <c r="I108" s="214"/>
      <c r="J108" s="214"/>
      <c r="K108" s="214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  <c r="AA108" s="121"/>
      <c r="AB108" s="121"/>
      <c r="AC108" s="121"/>
      <c r="AD108" s="121"/>
      <c r="AE108" s="121"/>
      <c r="AF108" s="121"/>
      <c r="AG108" s="121"/>
      <c r="AH108" s="121"/>
      <c r="AI108" s="121"/>
      <c r="AJ108" s="121"/>
      <c r="AK108" s="121"/>
      <c r="AL108" s="121"/>
      <c r="AM108" s="121"/>
      <c r="AN108" s="121"/>
    </row>
    <row r="109" ht="17.25" hidden="1" customHeight="1">
      <c r="A109" s="121"/>
      <c r="B109" s="214"/>
      <c r="C109" s="214"/>
      <c r="D109" s="214"/>
      <c r="E109" s="214"/>
      <c r="F109" s="214"/>
      <c r="G109" s="214"/>
      <c r="H109" s="214"/>
      <c r="I109" s="214"/>
      <c r="J109" s="214"/>
      <c r="K109" s="214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  <c r="AA109" s="121"/>
      <c r="AB109" s="121"/>
      <c r="AC109" s="121"/>
      <c r="AD109" s="121"/>
      <c r="AE109" s="121"/>
      <c r="AF109" s="121"/>
      <c r="AG109" s="121"/>
      <c r="AH109" s="121"/>
      <c r="AI109" s="121"/>
      <c r="AJ109" s="121"/>
      <c r="AK109" s="121"/>
      <c r="AL109" s="121"/>
      <c r="AM109" s="121"/>
      <c r="AN109" s="121"/>
    </row>
    <row r="110" ht="17.25" hidden="1" customHeight="1">
      <c r="A110" s="121"/>
      <c r="B110" s="213">
        <f>COUNTIF($AD$43:$AD$47, true)</f>
        <v>0</v>
      </c>
      <c r="C110" s="214" t="str">
        <f t="array" ref="C110:H114">$X$43:$AC$47</f>
        <v/>
      </c>
      <c r="D110" s="214"/>
      <c r="E110" s="214"/>
      <c r="F110" s="214"/>
      <c r="G110" s="214"/>
      <c r="H110" s="214"/>
      <c r="I110" s="214"/>
      <c r="J110" s="214"/>
      <c r="K110" s="214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121"/>
      <c r="AK110" s="121"/>
      <c r="AL110" s="121"/>
      <c r="AM110" s="121"/>
      <c r="AN110" s="121"/>
    </row>
    <row r="111" ht="17.25" hidden="1" customHeight="1">
      <c r="A111" s="121"/>
      <c r="B111" s="214"/>
      <c r="C111" s="214"/>
      <c r="D111" s="214"/>
      <c r="E111" s="214"/>
      <c r="F111" s="214"/>
      <c r="G111" s="214"/>
      <c r="H111" s="214"/>
      <c r="I111" s="214"/>
      <c r="J111" s="214"/>
      <c r="K111" s="214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  <c r="AA111" s="121"/>
      <c r="AB111" s="121"/>
      <c r="AC111" s="121"/>
      <c r="AD111" s="121"/>
      <c r="AE111" s="121"/>
      <c r="AF111" s="121"/>
      <c r="AG111" s="121"/>
      <c r="AH111" s="121"/>
      <c r="AI111" s="121"/>
      <c r="AJ111" s="121"/>
      <c r="AK111" s="121"/>
      <c r="AL111" s="121"/>
      <c r="AM111" s="121"/>
      <c r="AN111" s="121"/>
    </row>
    <row r="112" ht="17.25" hidden="1" customHeight="1">
      <c r="A112" s="121"/>
      <c r="B112" s="214"/>
      <c r="C112" s="214"/>
      <c r="D112" s="214"/>
      <c r="E112" s="214"/>
      <c r="F112" s="214"/>
      <c r="G112" s="214"/>
      <c r="H112" s="214"/>
      <c r="I112" s="214"/>
      <c r="J112" s="214"/>
      <c r="K112" s="214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  <c r="AA112" s="121"/>
      <c r="AB112" s="121"/>
      <c r="AC112" s="121"/>
      <c r="AD112" s="121"/>
      <c r="AE112" s="121"/>
      <c r="AF112" s="121"/>
      <c r="AG112" s="121"/>
      <c r="AH112" s="121"/>
      <c r="AI112" s="121"/>
      <c r="AJ112" s="121"/>
      <c r="AK112" s="121"/>
      <c r="AL112" s="121"/>
      <c r="AM112" s="121"/>
      <c r="AN112" s="121"/>
    </row>
    <row r="113" ht="17.25" hidden="1" customHeight="1">
      <c r="A113" s="121"/>
      <c r="B113" s="214"/>
      <c r="C113" s="214"/>
      <c r="D113" s="214"/>
      <c r="E113" s="214"/>
      <c r="F113" s="214"/>
      <c r="G113" s="214"/>
      <c r="H113" s="214"/>
      <c r="I113" s="214"/>
      <c r="J113" s="214"/>
      <c r="K113" s="214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  <c r="AA113" s="121"/>
      <c r="AB113" s="121"/>
      <c r="AC113" s="121"/>
      <c r="AD113" s="121"/>
      <c r="AE113" s="121"/>
      <c r="AF113" s="121"/>
      <c r="AG113" s="121"/>
      <c r="AH113" s="121"/>
      <c r="AI113" s="121"/>
      <c r="AJ113" s="121"/>
      <c r="AK113" s="121"/>
      <c r="AL113" s="121"/>
      <c r="AM113" s="121"/>
      <c r="AN113" s="121"/>
    </row>
    <row r="114" ht="17.25" hidden="1" customHeight="1">
      <c r="A114" s="121"/>
      <c r="B114" s="214"/>
      <c r="C114" s="214"/>
      <c r="D114" s="214"/>
      <c r="E114" s="214"/>
      <c r="F114" s="214"/>
      <c r="G114" s="214"/>
      <c r="H114" s="214"/>
      <c r="I114" s="214"/>
      <c r="J114" s="214"/>
      <c r="K114" s="214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  <c r="AA114" s="121"/>
      <c r="AB114" s="121"/>
      <c r="AC114" s="121"/>
      <c r="AD114" s="121"/>
      <c r="AE114" s="121"/>
      <c r="AF114" s="121"/>
      <c r="AG114" s="121"/>
      <c r="AH114" s="121"/>
      <c r="AI114" s="121"/>
      <c r="AJ114" s="121"/>
      <c r="AK114" s="121"/>
      <c r="AL114" s="121"/>
      <c r="AM114" s="121"/>
      <c r="AN114" s="121"/>
    </row>
    <row r="115" ht="17.25" hidden="1" customHeight="1">
      <c r="A115" s="121"/>
      <c r="B115" s="214"/>
      <c r="C115" s="214"/>
      <c r="D115" s="214"/>
      <c r="E115" s="214"/>
      <c r="F115" s="214"/>
      <c r="G115" s="214"/>
      <c r="H115" s="214"/>
      <c r="I115" s="214"/>
      <c r="J115" s="214"/>
      <c r="K115" s="214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  <c r="AA115" s="121"/>
      <c r="AB115" s="121"/>
      <c r="AC115" s="121"/>
      <c r="AD115" s="121"/>
      <c r="AE115" s="121"/>
      <c r="AF115" s="121"/>
      <c r="AG115" s="121"/>
      <c r="AH115" s="121"/>
      <c r="AI115" s="121"/>
      <c r="AJ115" s="121"/>
      <c r="AK115" s="121"/>
      <c r="AL115" s="121"/>
      <c r="AM115" s="121"/>
      <c r="AN115" s="121"/>
    </row>
    <row r="116" ht="17.25" hidden="1" customHeight="1">
      <c r="A116" s="121"/>
      <c r="B116" s="214"/>
      <c r="C116" s="214"/>
      <c r="D116" s="214"/>
      <c r="E116" s="214"/>
      <c r="F116" s="214"/>
      <c r="G116" s="214"/>
      <c r="H116" s="214"/>
      <c r="I116" s="214"/>
      <c r="J116" s="214"/>
      <c r="K116" s="214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  <c r="AA116" s="121"/>
      <c r="AB116" s="121"/>
      <c r="AC116" s="121"/>
      <c r="AD116" s="121"/>
      <c r="AE116" s="121"/>
      <c r="AF116" s="121"/>
      <c r="AG116" s="121"/>
      <c r="AH116" s="121"/>
      <c r="AI116" s="121"/>
      <c r="AJ116" s="121"/>
      <c r="AK116" s="121"/>
      <c r="AL116" s="121"/>
      <c r="AM116" s="121"/>
      <c r="AN116" s="121"/>
    </row>
    <row r="117" ht="17.25" hidden="1" customHeight="1">
      <c r="A117" s="121"/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121"/>
      <c r="AF117" s="121"/>
      <c r="AG117" s="121"/>
      <c r="AH117" s="121"/>
      <c r="AI117" s="121"/>
      <c r="AJ117" s="121"/>
      <c r="AK117" s="121"/>
      <c r="AL117" s="121"/>
      <c r="AM117" s="121"/>
      <c r="AN117" s="121"/>
    </row>
    <row r="118" ht="17.25" hidden="1" customHeight="1">
      <c r="A118" s="121"/>
      <c r="B118" s="214"/>
      <c r="C118" s="214"/>
      <c r="D118" s="214"/>
      <c r="E118" s="214"/>
      <c r="F118" s="214"/>
      <c r="G118" s="214"/>
      <c r="H118" s="214"/>
      <c r="I118" s="214"/>
      <c r="J118" s="214"/>
      <c r="K118" s="214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  <c r="AA118" s="121"/>
      <c r="AB118" s="121"/>
      <c r="AC118" s="121"/>
      <c r="AD118" s="121"/>
      <c r="AE118" s="121"/>
      <c r="AF118" s="121"/>
      <c r="AG118" s="121"/>
      <c r="AH118" s="121"/>
      <c r="AI118" s="121"/>
      <c r="AJ118" s="121"/>
      <c r="AK118" s="121"/>
      <c r="AL118" s="121"/>
      <c r="AM118" s="121"/>
      <c r="AN118" s="121"/>
    </row>
    <row r="119" ht="17.25" hidden="1" customHeight="1">
      <c r="A119" s="121"/>
      <c r="B119" s="214"/>
      <c r="C119" s="214"/>
      <c r="D119" s="214"/>
      <c r="E119" s="214"/>
      <c r="F119" s="214"/>
      <c r="G119" s="214"/>
      <c r="H119" s="214"/>
      <c r="I119" s="214"/>
      <c r="J119" s="214"/>
      <c r="K119" s="214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  <c r="AA119" s="121"/>
      <c r="AB119" s="121"/>
      <c r="AC119" s="121"/>
      <c r="AD119" s="121"/>
      <c r="AE119" s="121"/>
      <c r="AF119" s="121"/>
      <c r="AG119" s="121"/>
      <c r="AH119" s="121"/>
      <c r="AI119" s="121"/>
      <c r="AJ119" s="121"/>
      <c r="AK119" s="121"/>
      <c r="AL119" s="121"/>
      <c r="AM119" s="121"/>
      <c r="AN119" s="121"/>
    </row>
    <row r="120" ht="17.25" hidden="1" customHeight="1">
      <c r="A120" s="121"/>
      <c r="B120" s="214"/>
      <c r="C120" s="214"/>
      <c r="D120" s="214"/>
      <c r="E120" s="214"/>
      <c r="F120" s="214"/>
      <c r="G120" s="214"/>
      <c r="H120" s="214"/>
      <c r="I120" s="214"/>
      <c r="J120" s="214"/>
      <c r="K120" s="214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</row>
    <row r="121" ht="17.25" hidden="1" customHeight="1">
      <c r="A121" s="121"/>
      <c r="B121" s="214"/>
      <c r="C121" s="214"/>
      <c r="D121" s="214"/>
      <c r="E121" s="214"/>
      <c r="F121" s="214"/>
      <c r="G121" s="214"/>
      <c r="H121" s="214"/>
      <c r="I121" s="214"/>
      <c r="J121" s="214"/>
      <c r="K121" s="214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</row>
    <row r="122" ht="17.25" hidden="1" customHeight="1">
      <c r="A122" s="121"/>
      <c r="B122" s="214"/>
      <c r="C122" s="214"/>
      <c r="D122" s="214"/>
      <c r="E122" s="214"/>
      <c r="F122" s="214"/>
      <c r="G122" s="214"/>
      <c r="H122" s="214"/>
      <c r="I122" s="214"/>
      <c r="J122" s="214"/>
      <c r="K122" s="214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  <c r="AA122" s="121"/>
      <c r="AB122" s="121"/>
      <c r="AC122" s="121"/>
      <c r="AD122" s="121"/>
      <c r="AE122" s="121"/>
      <c r="AF122" s="121"/>
      <c r="AG122" s="121"/>
      <c r="AH122" s="121"/>
      <c r="AI122" s="121"/>
      <c r="AJ122" s="121"/>
      <c r="AK122" s="121"/>
      <c r="AL122" s="121"/>
      <c r="AM122" s="121"/>
      <c r="AN122" s="121"/>
    </row>
    <row r="123" ht="17.25" hidden="1" customHeight="1">
      <c r="A123" s="121"/>
      <c r="B123" s="214"/>
      <c r="C123" s="214"/>
      <c r="D123" s="214"/>
      <c r="E123" s="214"/>
      <c r="F123" s="214"/>
      <c r="G123" s="214"/>
      <c r="H123" s="214"/>
      <c r="I123" s="214"/>
      <c r="J123" s="214"/>
      <c r="K123" s="214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1"/>
      <c r="AL123" s="121"/>
      <c r="AM123" s="121"/>
      <c r="AN123" s="121"/>
    </row>
    <row r="124" ht="17.25" hidden="1" customHeight="1">
      <c r="A124" s="121"/>
      <c r="B124" s="214"/>
      <c r="C124" s="214"/>
      <c r="D124" s="214"/>
      <c r="E124" s="214"/>
      <c r="F124" s="214"/>
      <c r="G124" s="214"/>
      <c r="H124" s="214"/>
      <c r="I124" s="214"/>
      <c r="J124" s="214"/>
      <c r="K124" s="214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</row>
    <row r="125" ht="17.25" hidden="1" customHeight="1">
      <c r="A125" s="121"/>
      <c r="B125" s="214"/>
      <c r="C125" s="214"/>
      <c r="D125" s="214"/>
      <c r="E125" s="214"/>
      <c r="F125" s="214"/>
      <c r="G125" s="214"/>
      <c r="H125" s="214"/>
      <c r="I125" s="214"/>
      <c r="J125" s="214"/>
      <c r="K125" s="214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</row>
    <row r="126" ht="17.25" hidden="1" customHeight="1">
      <c r="A126" s="121"/>
      <c r="B126" s="213">
        <f>COUNTIF($P$55:$P$59, true)</f>
        <v>0</v>
      </c>
      <c r="C126" s="214" t="str">
        <f t="array" ref="C126:O130">$C$55:$O$59</f>
        <v/>
      </c>
      <c r="D126" s="214"/>
      <c r="E126" s="214"/>
      <c r="F126" s="214"/>
      <c r="G126" s="214"/>
      <c r="H126" s="214"/>
      <c r="I126" s="214"/>
      <c r="J126" s="214"/>
      <c r="K126" s="214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</row>
    <row r="127" ht="17.25" hidden="1" customHeight="1">
      <c r="A127" s="121"/>
      <c r="B127" s="214"/>
      <c r="C127" s="214"/>
      <c r="D127" s="214"/>
      <c r="E127" s="214"/>
      <c r="F127" s="214"/>
      <c r="G127" s="214"/>
      <c r="H127" s="214"/>
      <c r="I127" s="214"/>
      <c r="J127" s="214"/>
      <c r="K127" s="214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</row>
    <row r="128" ht="17.25" hidden="1" customHeight="1">
      <c r="A128" s="121"/>
      <c r="B128" s="214"/>
      <c r="C128" s="214"/>
      <c r="D128" s="214"/>
      <c r="E128" s="214"/>
      <c r="F128" s="214"/>
      <c r="G128" s="214"/>
      <c r="H128" s="214"/>
      <c r="I128" s="214"/>
      <c r="J128" s="214"/>
      <c r="K128" s="214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</row>
    <row r="129" ht="17.25" hidden="1" customHeight="1">
      <c r="A129" s="121"/>
      <c r="B129" s="214"/>
      <c r="C129" s="214"/>
      <c r="D129" s="214"/>
      <c r="E129" s="214"/>
      <c r="F129" s="214"/>
      <c r="G129" s="214"/>
      <c r="H129" s="214"/>
      <c r="I129" s="214"/>
      <c r="J129" s="214"/>
      <c r="K129" s="214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</row>
    <row r="130" ht="17.25" hidden="1" customHeight="1">
      <c r="A130" s="121"/>
      <c r="B130" s="214"/>
      <c r="C130" s="214"/>
      <c r="D130" s="214"/>
      <c r="E130" s="214"/>
      <c r="F130" s="214"/>
      <c r="G130" s="214"/>
      <c r="H130" s="214"/>
      <c r="I130" s="214"/>
      <c r="J130" s="214"/>
      <c r="K130" s="214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</row>
    <row r="131" ht="17.25" hidden="1" customHeight="1">
      <c r="A131" s="121"/>
      <c r="B131" s="214"/>
      <c r="C131" s="214"/>
      <c r="D131" s="214"/>
      <c r="E131" s="214"/>
      <c r="F131" s="214"/>
      <c r="G131" s="214"/>
      <c r="H131" s="214"/>
      <c r="I131" s="214"/>
      <c r="J131" s="214"/>
      <c r="K131" s="214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</row>
    <row r="132" ht="17.25" hidden="1" customHeight="1">
      <c r="A132" s="121"/>
      <c r="B132" s="214"/>
      <c r="C132" s="214"/>
      <c r="D132" s="214"/>
      <c r="E132" s="214"/>
      <c r="F132" s="214"/>
      <c r="G132" s="214"/>
      <c r="H132" s="214"/>
      <c r="I132" s="214"/>
      <c r="J132" s="214"/>
      <c r="K132" s="214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</row>
    <row r="133" ht="17.25" hidden="1" customHeight="1">
      <c r="A133" s="121"/>
      <c r="B133" s="214"/>
      <c r="C133" s="214"/>
      <c r="D133" s="214"/>
      <c r="E133" s="214"/>
      <c r="F133" s="214"/>
      <c r="G133" s="214"/>
      <c r="H133" s="214"/>
      <c r="I133" s="214"/>
      <c r="J133" s="214"/>
      <c r="K133" s="214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</row>
    <row r="134" ht="17.25" hidden="1" customHeight="1">
      <c r="A134" s="121"/>
      <c r="B134" s="214"/>
      <c r="C134" s="214"/>
      <c r="D134" s="214"/>
      <c r="E134" s="214"/>
      <c r="F134" s="214"/>
      <c r="G134" s="214"/>
      <c r="H134" s="214"/>
      <c r="I134" s="214"/>
      <c r="J134" s="214"/>
      <c r="K134" s="214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  <c r="AA134" s="121"/>
      <c r="AB134" s="121"/>
      <c r="AC134" s="121"/>
      <c r="AD134" s="121"/>
      <c r="AE134" s="121"/>
      <c r="AF134" s="121"/>
      <c r="AG134" s="121"/>
      <c r="AH134" s="121"/>
      <c r="AI134" s="121"/>
      <c r="AJ134" s="121"/>
      <c r="AK134" s="121"/>
      <c r="AL134" s="121"/>
      <c r="AM134" s="121"/>
      <c r="AN134" s="121"/>
    </row>
    <row r="135" ht="17.25" hidden="1" customHeight="1">
      <c r="A135" s="121"/>
      <c r="B135" s="214"/>
      <c r="C135" s="214"/>
      <c r="D135" s="214"/>
      <c r="E135" s="214"/>
      <c r="F135" s="214"/>
      <c r="G135" s="214"/>
      <c r="H135" s="214"/>
      <c r="I135" s="214"/>
      <c r="J135" s="214"/>
      <c r="K135" s="214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  <c r="AA135" s="121"/>
      <c r="AB135" s="121"/>
      <c r="AC135" s="121"/>
      <c r="AD135" s="121"/>
      <c r="AE135" s="121"/>
      <c r="AF135" s="121"/>
      <c r="AG135" s="121"/>
      <c r="AH135" s="121"/>
      <c r="AI135" s="121"/>
      <c r="AJ135" s="121"/>
      <c r="AK135" s="121"/>
      <c r="AL135" s="121"/>
      <c r="AM135" s="121"/>
      <c r="AN135" s="121"/>
    </row>
    <row r="136" ht="17.25" hidden="1" customHeight="1">
      <c r="A136" s="121"/>
      <c r="B136" s="214"/>
      <c r="C136" s="214"/>
      <c r="D136" s="214"/>
      <c r="E136" s="214"/>
      <c r="F136" s="214"/>
      <c r="G136" s="214"/>
      <c r="H136" s="214"/>
      <c r="I136" s="214"/>
      <c r="J136" s="214"/>
      <c r="K136" s="214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  <c r="AA136" s="121"/>
      <c r="AB136" s="121"/>
      <c r="AC136" s="121"/>
      <c r="AD136" s="121"/>
      <c r="AE136" s="121"/>
      <c r="AF136" s="121"/>
      <c r="AG136" s="121"/>
      <c r="AH136" s="121"/>
      <c r="AI136" s="121"/>
      <c r="AJ136" s="121"/>
      <c r="AK136" s="121"/>
      <c r="AL136" s="121"/>
      <c r="AM136" s="121"/>
      <c r="AN136" s="121"/>
    </row>
    <row r="137" ht="17.25" hidden="1" customHeight="1">
      <c r="A137" s="121"/>
      <c r="B137" s="214"/>
      <c r="C137" s="214"/>
      <c r="D137" s="214"/>
      <c r="E137" s="214"/>
      <c r="F137" s="214"/>
      <c r="G137" s="214"/>
      <c r="H137" s="214"/>
      <c r="I137" s="214"/>
      <c r="J137" s="214"/>
      <c r="K137" s="214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  <c r="AA137" s="121"/>
      <c r="AB137" s="121"/>
      <c r="AC137" s="121"/>
      <c r="AD137" s="121"/>
      <c r="AE137" s="121"/>
      <c r="AF137" s="121"/>
      <c r="AG137" s="121"/>
      <c r="AH137" s="121"/>
      <c r="AI137" s="121"/>
      <c r="AJ137" s="121"/>
      <c r="AK137" s="121"/>
      <c r="AL137" s="121"/>
      <c r="AM137" s="121"/>
      <c r="AN137" s="121"/>
    </row>
    <row r="138" ht="17.25" hidden="1" customHeight="1">
      <c r="A138" s="121"/>
      <c r="B138" s="214"/>
      <c r="C138" s="214"/>
      <c r="D138" s="214"/>
      <c r="E138" s="214"/>
      <c r="F138" s="214"/>
      <c r="G138" s="214"/>
      <c r="H138" s="214"/>
      <c r="I138" s="214"/>
      <c r="J138" s="214"/>
      <c r="K138" s="214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21"/>
      <c r="AH138" s="121"/>
      <c r="AI138" s="121"/>
      <c r="AJ138" s="121"/>
      <c r="AK138" s="121"/>
      <c r="AL138" s="121"/>
      <c r="AM138" s="121"/>
      <c r="AN138" s="121"/>
    </row>
    <row r="139" ht="17.25" hidden="1" customHeight="1">
      <c r="A139" s="121"/>
      <c r="B139" s="214"/>
      <c r="C139" s="214"/>
      <c r="D139" s="214"/>
      <c r="E139" s="214"/>
      <c r="F139" s="214"/>
      <c r="G139" s="214"/>
      <c r="H139" s="214"/>
      <c r="I139" s="214"/>
      <c r="J139" s="214"/>
      <c r="K139" s="214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  <c r="AA139" s="121"/>
      <c r="AB139" s="121"/>
      <c r="AC139" s="121"/>
      <c r="AD139" s="121"/>
      <c r="AE139" s="121"/>
      <c r="AF139" s="121"/>
      <c r="AG139" s="121"/>
      <c r="AH139" s="121"/>
      <c r="AI139" s="121"/>
      <c r="AJ139" s="121"/>
      <c r="AK139" s="121"/>
      <c r="AL139" s="121"/>
      <c r="AM139" s="121"/>
      <c r="AN139" s="121"/>
    </row>
    <row r="140" ht="17.25" hidden="1" customHeight="1">
      <c r="A140" s="121"/>
      <c r="B140" s="214"/>
      <c r="C140" s="214"/>
      <c r="D140" s="214"/>
      <c r="E140" s="214"/>
      <c r="F140" s="214"/>
      <c r="G140" s="214"/>
      <c r="H140" s="214"/>
      <c r="I140" s="214"/>
      <c r="J140" s="214"/>
      <c r="K140" s="214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  <c r="AA140" s="121"/>
      <c r="AB140" s="121"/>
      <c r="AC140" s="121"/>
      <c r="AD140" s="121"/>
      <c r="AE140" s="121"/>
      <c r="AF140" s="121"/>
      <c r="AG140" s="121"/>
      <c r="AH140" s="121"/>
      <c r="AI140" s="121"/>
      <c r="AJ140" s="121"/>
      <c r="AK140" s="121"/>
      <c r="AL140" s="121"/>
      <c r="AM140" s="121"/>
      <c r="AN140" s="121"/>
    </row>
  </sheetData>
  <mergeCells count="86">
    <mergeCell ref="AI38:AM38"/>
    <mergeCell ref="AI39:AM39"/>
    <mergeCell ref="B42:B43"/>
    <mergeCell ref="C42:H42"/>
    <mergeCell ref="Q42:V42"/>
    <mergeCell ref="C43:H43"/>
    <mergeCell ref="Q43:V43"/>
    <mergeCell ref="J42:O42"/>
    <mergeCell ref="J43:O43"/>
    <mergeCell ref="C44:H44"/>
    <mergeCell ref="J44:O44"/>
    <mergeCell ref="Q44:V44"/>
    <mergeCell ref="J45:O45"/>
    <mergeCell ref="Q45:V45"/>
    <mergeCell ref="C47:H47"/>
    <mergeCell ref="C49:I49"/>
    <mergeCell ref="B49:B51"/>
    <mergeCell ref="C51:I51"/>
    <mergeCell ref="C52:H52"/>
    <mergeCell ref="B54:B55"/>
    <mergeCell ref="C45:H45"/>
    <mergeCell ref="C46:H46"/>
    <mergeCell ref="J46:O46"/>
    <mergeCell ref="Q46:V46"/>
    <mergeCell ref="J47:O47"/>
    <mergeCell ref="Q47:V47"/>
    <mergeCell ref="Q50:W50"/>
    <mergeCell ref="C55:O55"/>
    <mergeCell ref="C56:O56"/>
    <mergeCell ref="C57:O57"/>
    <mergeCell ref="C58:O58"/>
    <mergeCell ref="C59:O59"/>
    <mergeCell ref="C50:I50"/>
    <mergeCell ref="J50:P50"/>
    <mergeCell ref="J51:P51"/>
    <mergeCell ref="Q51:W51"/>
    <mergeCell ref="J52:O52"/>
    <mergeCell ref="Q52:V52"/>
    <mergeCell ref="C54:P54"/>
    <mergeCell ref="O3:T3"/>
    <mergeCell ref="O4:T4"/>
    <mergeCell ref="B7:B8"/>
    <mergeCell ref="C7:I7"/>
    <mergeCell ref="J7:P7"/>
    <mergeCell ref="Q7:W7"/>
    <mergeCell ref="B2:H2"/>
    <mergeCell ref="AG2:AM5"/>
    <mergeCell ref="B3:H4"/>
    <mergeCell ref="I3:M3"/>
    <mergeCell ref="V3:Z3"/>
    <mergeCell ref="I4:M4"/>
    <mergeCell ref="V4:Z4"/>
    <mergeCell ref="B5:H5"/>
    <mergeCell ref="AB3:AF3"/>
    <mergeCell ref="AB4:AF4"/>
    <mergeCell ref="X7:AD7"/>
    <mergeCell ref="AE7:AG7"/>
    <mergeCell ref="AI7:AJ8"/>
    <mergeCell ref="AK7:AM8"/>
    <mergeCell ref="AK10:AM10"/>
    <mergeCell ref="AK11:AM11"/>
    <mergeCell ref="AK12:AM12"/>
    <mergeCell ref="AK13:AM13"/>
    <mergeCell ref="AK14:AM14"/>
    <mergeCell ref="AK15:AM15"/>
    <mergeCell ref="AK16:AM16"/>
    <mergeCell ref="AK17:AM17"/>
    <mergeCell ref="AK18:AM18"/>
    <mergeCell ref="AK19:AM19"/>
    <mergeCell ref="AK20:AM20"/>
    <mergeCell ref="AK21:AM21"/>
    <mergeCell ref="B36:AG36"/>
    <mergeCell ref="AI36:AM36"/>
    <mergeCell ref="AI37:AM37"/>
    <mergeCell ref="X42:AC42"/>
    <mergeCell ref="X43:AC43"/>
    <mergeCell ref="X44:AC44"/>
    <mergeCell ref="X45:AC45"/>
    <mergeCell ref="X46:AC46"/>
    <mergeCell ref="X47:AC47"/>
    <mergeCell ref="J49:P49"/>
    <mergeCell ref="Q49:W49"/>
    <mergeCell ref="X49:AD49"/>
    <mergeCell ref="X50:AD50"/>
    <mergeCell ref="X51:AD51"/>
    <mergeCell ref="X52:AC52"/>
  </mergeCells>
  <conditionalFormatting sqref="C23:AG23">
    <cfRule type="cellIs" dxfId="0" priority="1" operator="greaterThanOrEqual">
      <formula>"75%"</formula>
    </cfRule>
  </conditionalFormatting>
  <dataValidations>
    <dataValidation type="list" allowBlank="1" showErrorMessage="1" sqref="C37:AG39">
      <formula1>"10,9,8,7,6,5,4,3,2,1"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2" width="25.88"/>
    <col customWidth="1" min="3" max="19" width="4.25"/>
    <col customWidth="1" min="20" max="20" width="6.88"/>
    <col customWidth="1" min="21" max="33" width="4.25"/>
    <col customWidth="1" min="34" max="40" width="4.75"/>
  </cols>
  <sheetData>
    <row r="1" ht="17.25" customHeight="1">
      <c r="A1" s="120"/>
      <c r="B1" s="121"/>
      <c r="C1" s="122"/>
      <c r="D1" s="120"/>
      <c r="E1" s="121"/>
      <c r="F1" s="121"/>
      <c r="G1" s="121"/>
      <c r="H1" s="121"/>
      <c r="I1" s="121"/>
      <c r="J1" s="121"/>
      <c r="K1" s="121"/>
      <c r="L1" s="121"/>
      <c r="M1" s="123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</row>
    <row r="2" ht="17.25" customHeight="1">
      <c r="A2" s="120"/>
      <c r="B2" s="124"/>
      <c r="C2" s="21"/>
      <c r="D2" s="21"/>
      <c r="E2" s="21"/>
      <c r="F2" s="21"/>
      <c r="G2" s="21"/>
      <c r="H2" s="21"/>
      <c r="I2" s="125"/>
      <c r="J2" s="125"/>
      <c r="K2" s="125"/>
      <c r="L2" s="125"/>
      <c r="M2" s="126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21"/>
      <c r="AI2" s="21"/>
      <c r="AJ2" s="21"/>
      <c r="AK2" s="21"/>
      <c r="AL2" s="21"/>
      <c r="AM2" s="42"/>
      <c r="AN2" s="121"/>
    </row>
    <row r="3" ht="17.25" customHeight="1">
      <c r="A3" s="120"/>
      <c r="B3" s="33" t="s">
        <v>36</v>
      </c>
      <c r="I3" s="29" t="s">
        <v>39</v>
      </c>
      <c r="N3" s="127"/>
      <c r="O3" s="29" t="s">
        <v>41</v>
      </c>
      <c r="U3" s="127"/>
      <c r="V3" s="29" t="s">
        <v>42</v>
      </c>
      <c r="AA3" s="127"/>
      <c r="AB3" s="29" t="s">
        <v>26</v>
      </c>
      <c r="AM3" s="105"/>
      <c r="AN3" s="121"/>
    </row>
    <row r="4" ht="17.25" customHeight="1">
      <c r="A4" s="120"/>
      <c r="B4" s="85"/>
      <c r="I4" s="128">
        <f>SUM(countA($B$10:$B$21),$I$62)</f>
        <v>0</v>
      </c>
      <c r="N4" s="129"/>
      <c r="O4" s="130">
        <f>SUM(COUNTIF($C$10:$AG$21, true),$J$62)</f>
        <v>0</v>
      </c>
      <c r="U4" s="129"/>
      <c r="V4" s="131" t="str">
        <f>IFERROR(__xludf.DUMMYFUNCTION("iferror(SPARKLINE($AB$4:$AF$4,{""charttype"",""bar"";""max"",1;""color1"",""#c9e4b2""}))"),"")</f>
        <v/>
      </c>
      <c r="AA4" s="129"/>
      <c r="AB4" s="132">
        <f>$O$4/SUM(COUNTA($C$10:$AG$21),$K$62)</f>
        <v>0</v>
      </c>
      <c r="AM4" s="105"/>
      <c r="AN4" s="121"/>
    </row>
    <row r="5" ht="17.25" customHeight="1">
      <c r="A5" s="120"/>
      <c r="B5" s="133"/>
      <c r="C5" s="37"/>
      <c r="D5" s="37"/>
      <c r="E5" s="37"/>
      <c r="F5" s="37"/>
      <c r="G5" s="37"/>
      <c r="H5" s="37"/>
      <c r="I5" s="134"/>
      <c r="J5" s="134"/>
      <c r="K5" s="134"/>
      <c r="L5" s="134"/>
      <c r="M5" s="135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4"/>
      <c r="AG5" s="37"/>
      <c r="AH5" s="37"/>
      <c r="AI5" s="37"/>
      <c r="AJ5" s="37"/>
      <c r="AK5" s="37"/>
      <c r="AL5" s="37"/>
      <c r="AM5" s="44"/>
      <c r="AN5" s="121"/>
    </row>
    <row r="6" ht="17.25" customHeight="1">
      <c r="A6" s="120"/>
      <c r="B6" s="121"/>
      <c r="C6" s="122"/>
      <c r="D6" s="120"/>
      <c r="E6" s="121"/>
      <c r="F6" s="121"/>
      <c r="G6" s="121"/>
      <c r="H6" s="121"/>
      <c r="I6" s="121"/>
      <c r="J6" s="121"/>
      <c r="K6" s="121"/>
      <c r="L6" s="121"/>
      <c r="M6" s="123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</row>
    <row r="7" ht="17.25" customHeight="1">
      <c r="A7" s="120"/>
      <c r="B7" s="136" t="s">
        <v>43</v>
      </c>
      <c r="C7" s="190" t="s">
        <v>44</v>
      </c>
      <c r="D7" s="46"/>
      <c r="E7" s="46"/>
      <c r="F7" s="46"/>
      <c r="G7" s="46"/>
      <c r="H7" s="46"/>
      <c r="I7" s="47"/>
      <c r="J7" s="216" t="s">
        <v>45</v>
      </c>
      <c r="K7" s="46"/>
      <c r="L7" s="46"/>
      <c r="M7" s="46"/>
      <c r="N7" s="46"/>
      <c r="O7" s="46"/>
      <c r="P7" s="47"/>
      <c r="Q7" s="217" t="s">
        <v>46</v>
      </c>
      <c r="R7" s="46"/>
      <c r="S7" s="46"/>
      <c r="T7" s="46"/>
      <c r="U7" s="46"/>
      <c r="V7" s="46"/>
      <c r="W7" s="47"/>
      <c r="X7" s="218" t="s">
        <v>47</v>
      </c>
      <c r="Y7" s="46"/>
      <c r="Z7" s="46"/>
      <c r="AA7" s="46"/>
      <c r="AB7" s="46"/>
      <c r="AC7" s="46"/>
      <c r="AD7" s="47"/>
      <c r="AE7" s="141"/>
      <c r="AF7" s="46"/>
      <c r="AG7" s="47"/>
      <c r="AH7" s="121"/>
      <c r="AI7" s="62" t="s">
        <v>48</v>
      </c>
      <c r="AJ7" s="42"/>
      <c r="AK7" s="62" t="s">
        <v>49</v>
      </c>
      <c r="AL7" s="21"/>
      <c r="AM7" s="42"/>
      <c r="AN7" s="121"/>
    </row>
    <row r="8" ht="17.25" customHeight="1">
      <c r="A8" s="121"/>
      <c r="B8" s="86"/>
      <c r="C8" s="143">
        <f>weekday(date(Dashboard!$Q$3,$AG$45,C9),1)</f>
        <v>4</v>
      </c>
      <c r="D8" s="143">
        <f>weekday(date(Dashboard!$Q$3,$AG$45,D9),1)</f>
        <v>5</v>
      </c>
      <c r="E8" s="143">
        <f>weekday(date(Dashboard!$Q$3,$AG$45,E9),1)</f>
        <v>6</v>
      </c>
      <c r="F8" s="143">
        <f>weekday(date(Dashboard!$Q$3,$AG$45,F9),1)</f>
        <v>7</v>
      </c>
      <c r="G8" s="143">
        <f>weekday(date(Dashboard!$Q$3,$AG$45,G9),1)</f>
        <v>1</v>
      </c>
      <c r="H8" s="143">
        <f>weekday(date(Dashboard!$Q$3,$AG$45,H9),1)</f>
        <v>2</v>
      </c>
      <c r="I8" s="143">
        <f>weekday(date(Dashboard!$Q$3,$AG$45,I9),1)</f>
        <v>3</v>
      </c>
      <c r="J8" s="144">
        <f>weekday(date(Dashboard!$Q$3,$AG$45,J9),1)</f>
        <v>4</v>
      </c>
      <c r="K8" s="144">
        <f>weekday(date(Dashboard!$Q$3,$AG$45,K9),1)</f>
        <v>5</v>
      </c>
      <c r="L8" s="144">
        <f>weekday(date(Dashboard!$Q$3,$AG$45,L9),1)</f>
        <v>6</v>
      </c>
      <c r="M8" s="144">
        <f>weekday(date(Dashboard!$Q$3,$AG$45,M9),1)</f>
        <v>7</v>
      </c>
      <c r="N8" s="144">
        <f>weekday(date(Dashboard!$Q$3,$AG$45,N9),1)</f>
        <v>1</v>
      </c>
      <c r="O8" s="144">
        <f>weekday(date(Dashboard!$Q$3,$AG$45,O9),1)</f>
        <v>2</v>
      </c>
      <c r="P8" s="144">
        <f>weekday(date(Dashboard!$Q$3,$AG$45,P9),1)</f>
        <v>3</v>
      </c>
      <c r="Q8" s="145">
        <f>weekday(date(Dashboard!$Q$3,$AG$45,Q9),1)</f>
        <v>4</v>
      </c>
      <c r="R8" s="145">
        <f>weekday(date(Dashboard!$Q$3,$AG$45,R9),1)</f>
        <v>5</v>
      </c>
      <c r="S8" s="145">
        <f>weekday(date(Dashboard!$Q$3,$AG$45,S9),1)</f>
        <v>6</v>
      </c>
      <c r="T8" s="145">
        <f>weekday(date(Dashboard!$Q$3,$AG$45,T9),1)</f>
        <v>7</v>
      </c>
      <c r="U8" s="145">
        <f>weekday(date(Dashboard!$Q$3,$AG$45,U9),1)</f>
        <v>1</v>
      </c>
      <c r="V8" s="145">
        <f>weekday(date(Dashboard!$Q$3,$AG$45,V9),1)</f>
        <v>2</v>
      </c>
      <c r="W8" s="145">
        <f>weekday(date(Dashboard!$Q$3,$AG$45,W9),1)</f>
        <v>3</v>
      </c>
      <c r="X8" s="146">
        <f>weekday(date(Dashboard!$Q$3,$AG$45,X9),1)</f>
        <v>4</v>
      </c>
      <c r="Y8" s="146">
        <f>weekday(date(Dashboard!$Q$3,$AG$45,Y9),1)</f>
        <v>5</v>
      </c>
      <c r="Z8" s="146">
        <f>weekday(date(Dashboard!$Q$3,$AG$45,Z9),1)</f>
        <v>6</v>
      </c>
      <c r="AA8" s="146">
        <f>weekday(date(Dashboard!$Q$3,$AG$45,AA9),1)</f>
        <v>7</v>
      </c>
      <c r="AB8" s="146">
        <f>weekday(date(Dashboard!$Q$3,$AG$45,AB9),1)</f>
        <v>1</v>
      </c>
      <c r="AC8" s="146">
        <f>weekday(date(Dashboard!$Q$3,$AG$45,AC9),1)</f>
        <v>2</v>
      </c>
      <c r="AD8" s="146">
        <f>weekday(date(Dashboard!$Q$3,$AG$45,AD9),1)</f>
        <v>3</v>
      </c>
      <c r="AE8" s="147">
        <f>weekday(date(Dashboard!$Q$3,$AG$45,AE9),1)</f>
        <v>4</v>
      </c>
      <c r="AF8" s="147">
        <f>weekday(date(Dashboard!$Q$3,$AG$45,AF9),1)</f>
        <v>5</v>
      </c>
      <c r="AG8" s="148">
        <f>weekday(date(Dashboard!$Q$3,$AG$45,AG9),1)</f>
        <v>6</v>
      </c>
      <c r="AH8" s="149"/>
      <c r="AI8" s="43"/>
      <c r="AJ8" s="44"/>
      <c r="AK8" s="43"/>
      <c r="AL8" s="37"/>
      <c r="AM8" s="44"/>
      <c r="AN8" s="149"/>
    </row>
    <row r="9" ht="17.25" customHeight="1">
      <c r="A9" s="121"/>
      <c r="B9" s="150">
        <f>TODAY()</f>
        <v>46025</v>
      </c>
      <c r="C9" s="151">
        <v>1.0</v>
      </c>
      <c r="D9" s="151">
        <v>2.0</v>
      </c>
      <c r="E9" s="151">
        <v>3.0</v>
      </c>
      <c r="F9" s="151">
        <v>4.0</v>
      </c>
      <c r="G9" s="151">
        <v>5.0</v>
      </c>
      <c r="H9" s="151">
        <v>6.0</v>
      </c>
      <c r="I9" s="151">
        <v>7.0</v>
      </c>
      <c r="J9" s="152">
        <v>8.0</v>
      </c>
      <c r="K9" s="152">
        <v>9.0</v>
      </c>
      <c r="L9" s="152">
        <v>10.0</v>
      </c>
      <c r="M9" s="152">
        <v>11.0</v>
      </c>
      <c r="N9" s="152">
        <v>12.0</v>
      </c>
      <c r="O9" s="152">
        <v>13.0</v>
      </c>
      <c r="P9" s="152">
        <v>14.0</v>
      </c>
      <c r="Q9" s="153">
        <v>15.0</v>
      </c>
      <c r="R9" s="153">
        <v>16.0</v>
      </c>
      <c r="S9" s="153">
        <v>17.0</v>
      </c>
      <c r="T9" s="153">
        <v>18.0</v>
      </c>
      <c r="U9" s="153">
        <v>19.0</v>
      </c>
      <c r="V9" s="153">
        <v>20.0</v>
      </c>
      <c r="W9" s="153">
        <v>21.0</v>
      </c>
      <c r="X9" s="154">
        <v>22.0</v>
      </c>
      <c r="Y9" s="154">
        <v>23.0</v>
      </c>
      <c r="Z9" s="154">
        <v>24.0</v>
      </c>
      <c r="AA9" s="154">
        <v>25.0</v>
      </c>
      <c r="AB9" s="154">
        <v>26.0</v>
      </c>
      <c r="AC9" s="154">
        <v>27.0</v>
      </c>
      <c r="AD9" s="154">
        <v>28.0</v>
      </c>
      <c r="AE9" s="155">
        <v>29.0</v>
      </c>
      <c r="AF9" s="155">
        <v>30.0</v>
      </c>
      <c r="AG9" s="155">
        <v>31.0</v>
      </c>
      <c r="AH9" s="149"/>
      <c r="AI9" s="156" t="s">
        <v>14</v>
      </c>
      <c r="AJ9" s="156" t="s">
        <v>50</v>
      </c>
      <c r="AK9" s="157"/>
      <c r="AL9" s="158"/>
      <c r="AM9" s="159"/>
      <c r="AN9" s="149"/>
    </row>
    <row r="10" ht="17.25" customHeight="1">
      <c r="A10" s="121"/>
      <c r="B10" s="160"/>
      <c r="C10" s="161" t="b">
        <v>0</v>
      </c>
      <c r="D10" s="162" t="b">
        <v>0</v>
      </c>
      <c r="E10" s="162" t="b">
        <v>0</v>
      </c>
      <c r="F10" s="162" t="b">
        <v>0</v>
      </c>
      <c r="G10" s="162" t="b">
        <v>0</v>
      </c>
      <c r="H10" s="162" t="b">
        <v>0</v>
      </c>
      <c r="I10" s="162" t="b">
        <v>0</v>
      </c>
      <c r="J10" s="163" t="b">
        <v>0</v>
      </c>
      <c r="K10" s="163" t="b">
        <v>0</v>
      </c>
      <c r="L10" s="163" t="b">
        <v>0</v>
      </c>
      <c r="M10" s="163" t="b">
        <v>0</v>
      </c>
      <c r="N10" s="163" t="b">
        <v>0</v>
      </c>
      <c r="O10" s="163" t="b">
        <v>0</v>
      </c>
      <c r="P10" s="163" t="b">
        <v>0</v>
      </c>
      <c r="Q10" s="164" t="b">
        <v>0</v>
      </c>
      <c r="R10" s="164" t="b">
        <v>0</v>
      </c>
      <c r="S10" s="164" t="b">
        <v>0</v>
      </c>
      <c r="T10" s="164" t="b">
        <v>0</v>
      </c>
      <c r="U10" s="164" t="b">
        <v>0</v>
      </c>
      <c r="V10" s="164" t="b">
        <v>0</v>
      </c>
      <c r="W10" s="164" t="b">
        <v>0</v>
      </c>
      <c r="X10" s="165" t="b">
        <v>0</v>
      </c>
      <c r="Y10" s="165" t="b">
        <v>0</v>
      </c>
      <c r="Z10" s="165" t="b">
        <v>0</v>
      </c>
      <c r="AA10" s="165" t="b">
        <v>0</v>
      </c>
      <c r="AB10" s="165" t="b">
        <v>0</v>
      </c>
      <c r="AC10" s="165" t="b">
        <v>0</v>
      </c>
      <c r="AD10" s="165" t="b">
        <v>0</v>
      </c>
      <c r="AE10" s="166" t="b">
        <v>0</v>
      </c>
      <c r="AF10" s="166" t="b">
        <v>0</v>
      </c>
      <c r="AG10" s="166" t="b">
        <v>0</v>
      </c>
      <c r="AH10" s="149"/>
      <c r="AI10" s="167"/>
      <c r="AJ10" s="168">
        <f t="array" ref="AJ10:AJ21">MMULT(N($C$10:$AG$21), TRANSPOSE(COLUMN($C$10:$AG$21)^0))
</f>
        <v>0</v>
      </c>
      <c r="AK10" s="169" t="str">
        <f>IFERROR(__xludf.DUMMYFUNCTION("iferror(SPARKLINE(AJ10/AI10,{""charttype"",""bar"";""max"",1;""color1"",""#c9e4b2""}))"),"")</f>
        <v/>
      </c>
      <c r="AL10" s="46"/>
      <c r="AM10" s="47"/>
      <c r="AN10" s="170"/>
    </row>
    <row r="11" ht="17.25" customHeight="1">
      <c r="A11" s="121"/>
      <c r="B11" s="160"/>
      <c r="C11" s="161" t="b">
        <v>0</v>
      </c>
      <c r="D11" s="162" t="b">
        <v>0</v>
      </c>
      <c r="E11" s="162" t="b">
        <v>0</v>
      </c>
      <c r="F11" s="162" t="b">
        <v>0</v>
      </c>
      <c r="G11" s="162" t="b">
        <v>0</v>
      </c>
      <c r="H11" s="162" t="b">
        <v>0</v>
      </c>
      <c r="I11" s="162" t="b">
        <v>0</v>
      </c>
      <c r="J11" s="163" t="b">
        <v>0</v>
      </c>
      <c r="K11" s="163" t="b">
        <v>0</v>
      </c>
      <c r="L11" s="163" t="b">
        <v>0</v>
      </c>
      <c r="M11" s="163" t="b">
        <v>0</v>
      </c>
      <c r="N11" s="163" t="b">
        <v>0</v>
      </c>
      <c r="O11" s="163" t="b">
        <v>0</v>
      </c>
      <c r="P11" s="163" t="b">
        <v>0</v>
      </c>
      <c r="Q11" s="164" t="b">
        <v>0</v>
      </c>
      <c r="R11" s="164" t="b">
        <v>0</v>
      </c>
      <c r="S11" s="164" t="b">
        <v>0</v>
      </c>
      <c r="T11" s="164" t="b">
        <v>0</v>
      </c>
      <c r="U11" s="164" t="b">
        <v>0</v>
      </c>
      <c r="V11" s="164" t="b">
        <v>0</v>
      </c>
      <c r="W11" s="164" t="b">
        <v>0</v>
      </c>
      <c r="X11" s="165" t="b">
        <v>0</v>
      </c>
      <c r="Y11" s="165" t="b">
        <v>0</v>
      </c>
      <c r="Z11" s="165" t="b">
        <v>0</v>
      </c>
      <c r="AA11" s="165" t="b">
        <v>0</v>
      </c>
      <c r="AB11" s="165" t="b">
        <v>0</v>
      </c>
      <c r="AC11" s="165" t="b">
        <v>0</v>
      </c>
      <c r="AD11" s="165" t="b">
        <v>0</v>
      </c>
      <c r="AE11" s="166" t="b">
        <v>0</v>
      </c>
      <c r="AF11" s="166" t="b">
        <v>0</v>
      </c>
      <c r="AG11" s="166" t="b">
        <v>0</v>
      </c>
      <c r="AH11" s="149"/>
      <c r="AI11" s="167"/>
      <c r="AJ11" s="160">
        <v>0.0</v>
      </c>
      <c r="AK11" s="169" t="str">
        <f>IFERROR(__xludf.DUMMYFUNCTION("iferror(SPARKLINE(AJ11/AI11,{""charttype"",""bar"";""max"",1;""color1"",""#c9e4b2""}))"),"")</f>
        <v/>
      </c>
      <c r="AL11" s="46"/>
      <c r="AM11" s="47"/>
      <c r="AN11" s="170"/>
    </row>
    <row r="12" ht="17.25" customHeight="1">
      <c r="A12" s="121"/>
      <c r="B12" s="160"/>
      <c r="C12" s="161" t="b">
        <v>0</v>
      </c>
      <c r="D12" s="162" t="b">
        <v>0</v>
      </c>
      <c r="E12" s="162" t="b">
        <v>0</v>
      </c>
      <c r="F12" s="162" t="b">
        <v>0</v>
      </c>
      <c r="G12" s="162" t="b">
        <v>0</v>
      </c>
      <c r="H12" s="162" t="b">
        <v>0</v>
      </c>
      <c r="I12" s="162" t="b">
        <v>0</v>
      </c>
      <c r="J12" s="163" t="b">
        <v>0</v>
      </c>
      <c r="K12" s="163" t="b">
        <v>0</v>
      </c>
      <c r="L12" s="163" t="b">
        <v>0</v>
      </c>
      <c r="M12" s="163" t="b">
        <v>0</v>
      </c>
      <c r="N12" s="163" t="b">
        <v>0</v>
      </c>
      <c r="O12" s="163" t="b">
        <v>0</v>
      </c>
      <c r="P12" s="163" t="b">
        <v>0</v>
      </c>
      <c r="Q12" s="164" t="b">
        <v>0</v>
      </c>
      <c r="R12" s="164" t="b">
        <v>0</v>
      </c>
      <c r="S12" s="164" t="b">
        <v>0</v>
      </c>
      <c r="T12" s="164" t="b">
        <v>0</v>
      </c>
      <c r="U12" s="164" t="b">
        <v>0</v>
      </c>
      <c r="V12" s="164" t="b">
        <v>0</v>
      </c>
      <c r="W12" s="164" t="b">
        <v>0</v>
      </c>
      <c r="X12" s="165" t="b">
        <v>0</v>
      </c>
      <c r="Y12" s="165" t="b">
        <v>0</v>
      </c>
      <c r="Z12" s="165" t="b">
        <v>0</v>
      </c>
      <c r="AA12" s="165" t="b">
        <v>0</v>
      </c>
      <c r="AB12" s="165" t="b">
        <v>0</v>
      </c>
      <c r="AC12" s="165" t="b">
        <v>0</v>
      </c>
      <c r="AD12" s="165" t="b">
        <v>0</v>
      </c>
      <c r="AE12" s="166" t="b">
        <v>0</v>
      </c>
      <c r="AF12" s="166" t="b">
        <v>0</v>
      </c>
      <c r="AG12" s="166" t="b">
        <v>0</v>
      </c>
      <c r="AH12" s="149"/>
      <c r="AI12" s="167"/>
      <c r="AJ12" s="160">
        <v>0.0</v>
      </c>
      <c r="AK12" s="169" t="str">
        <f>IFERROR(__xludf.DUMMYFUNCTION("iferror(SPARKLINE(AJ12/AI12,{""charttype"",""bar"";""max"",1;""color1"",""#c9e4b2""}))"),"")</f>
        <v/>
      </c>
      <c r="AL12" s="46"/>
      <c r="AM12" s="47"/>
      <c r="AN12" s="170"/>
    </row>
    <row r="13" ht="17.25" customHeight="1">
      <c r="A13" s="121"/>
      <c r="B13" s="160"/>
      <c r="C13" s="161" t="b">
        <v>0</v>
      </c>
      <c r="D13" s="162" t="b">
        <v>0</v>
      </c>
      <c r="E13" s="162" t="b">
        <v>0</v>
      </c>
      <c r="F13" s="162" t="b">
        <v>0</v>
      </c>
      <c r="G13" s="162" t="b">
        <v>0</v>
      </c>
      <c r="H13" s="162" t="b">
        <v>0</v>
      </c>
      <c r="I13" s="162" t="b">
        <v>0</v>
      </c>
      <c r="J13" s="163" t="b">
        <v>0</v>
      </c>
      <c r="K13" s="163" t="b">
        <v>0</v>
      </c>
      <c r="L13" s="163" t="b">
        <v>0</v>
      </c>
      <c r="M13" s="163" t="b">
        <v>0</v>
      </c>
      <c r="N13" s="163" t="b">
        <v>0</v>
      </c>
      <c r="O13" s="163" t="b">
        <v>0</v>
      </c>
      <c r="P13" s="163" t="b">
        <v>0</v>
      </c>
      <c r="Q13" s="164" t="b">
        <v>0</v>
      </c>
      <c r="R13" s="164" t="b">
        <v>0</v>
      </c>
      <c r="S13" s="164" t="b">
        <v>0</v>
      </c>
      <c r="T13" s="164" t="b">
        <v>0</v>
      </c>
      <c r="U13" s="164" t="b">
        <v>0</v>
      </c>
      <c r="V13" s="164" t="b">
        <v>0</v>
      </c>
      <c r="W13" s="164" t="b">
        <v>0</v>
      </c>
      <c r="X13" s="165" t="b">
        <v>0</v>
      </c>
      <c r="Y13" s="165" t="b">
        <v>0</v>
      </c>
      <c r="Z13" s="165" t="b">
        <v>0</v>
      </c>
      <c r="AA13" s="165" t="b">
        <v>0</v>
      </c>
      <c r="AB13" s="165" t="b">
        <v>0</v>
      </c>
      <c r="AC13" s="165" t="b">
        <v>0</v>
      </c>
      <c r="AD13" s="165" t="b">
        <v>0</v>
      </c>
      <c r="AE13" s="166" t="b">
        <v>0</v>
      </c>
      <c r="AF13" s="166" t="b">
        <v>0</v>
      </c>
      <c r="AG13" s="166" t="b">
        <v>0</v>
      </c>
      <c r="AH13" s="149"/>
      <c r="AI13" s="167"/>
      <c r="AJ13" s="160">
        <v>0.0</v>
      </c>
      <c r="AK13" s="169" t="str">
        <f>IFERROR(__xludf.DUMMYFUNCTION("iferror(SPARKLINE(AJ13/AI13,{""charttype"",""bar"";""max"",1;""color1"",""#c9e4b2""}))"),"")</f>
        <v/>
      </c>
      <c r="AL13" s="46"/>
      <c r="AM13" s="47"/>
      <c r="AN13" s="170"/>
    </row>
    <row r="14" ht="17.25" customHeight="1">
      <c r="A14" s="121"/>
      <c r="B14" s="160"/>
      <c r="C14" s="161" t="b">
        <v>0</v>
      </c>
      <c r="D14" s="162" t="b">
        <v>0</v>
      </c>
      <c r="E14" s="162" t="b">
        <v>0</v>
      </c>
      <c r="F14" s="162" t="b">
        <v>0</v>
      </c>
      <c r="G14" s="162" t="b">
        <v>0</v>
      </c>
      <c r="H14" s="162" t="b">
        <v>0</v>
      </c>
      <c r="I14" s="162" t="b">
        <v>0</v>
      </c>
      <c r="J14" s="163" t="b">
        <v>0</v>
      </c>
      <c r="K14" s="163" t="b">
        <v>0</v>
      </c>
      <c r="L14" s="163" t="b">
        <v>0</v>
      </c>
      <c r="M14" s="163" t="b">
        <v>0</v>
      </c>
      <c r="N14" s="163" t="b">
        <v>0</v>
      </c>
      <c r="O14" s="163" t="b">
        <v>0</v>
      </c>
      <c r="P14" s="163" t="b">
        <v>0</v>
      </c>
      <c r="Q14" s="164" t="b">
        <v>0</v>
      </c>
      <c r="R14" s="164" t="b">
        <v>0</v>
      </c>
      <c r="S14" s="164" t="b">
        <v>0</v>
      </c>
      <c r="T14" s="164" t="b">
        <v>0</v>
      </c>
      <c r="U14" s="164" t="b">
        <v>0</v>
      </c>
      <c r="V14" s="164" t="b">
        <v>0</v>
      </c>
      <c r="W14" s="164" t="b">
        <v>0</v>
      </c>
      <c r="X14" s="165" t="b">
        <v>0</v>
      </c>
      <c r="Y14" s="165" t="b">
        <v>0</v>
      </c>
      <c r="Z14" s="165" t="b">
        <v>0</v>
      </c>
      <c r="AA14" s="165" t="b">
        <v>0</v>
      </c>
      <c r="AB14" s="165" t="b">
        <v>0</v>
      </c>
      <c r="AC14" s="165" t="b">
        <v>0</v>
      </c>
      <c r="AD14" s="165" t="b">
        <v>0</v>
      </c>
      <c r="AE14" s="166" t="b">
        <v>0</v>
      </c>
      <c r="AF14" s="166" t="b">
        <v>0</v>
      </c>
      <c r="AG14" s="166" t="b">
        <v>0</v>
      </c>
      <c r="AH14" s="149"/>
      <c r="AI14" s="167"/>
      <c r="AJ14" s="160">
        <v>0.0</v>
      </c>
      <c r="AK14" s="169" t="str">
        <f>IFERROR(__xludf.DUMMYFUNCTION("iferror(SPARKLINE(AJ14/AI14,{""charttype"",""bar"";""max"",1;""color1"",""#c9e4b2""}))"),"")</f>
        <v/>
      </c>
      <c r="AL14" s="46"/>
      <c r="AM14" s="47"/>
      <c r="AN14" s="170"/>
    </row>
    <row r="15" ht="17.25" customHeight="1">
      <c r="A15" s="121"/>
      <c r="B15" s="160"/>
      <c r="C15" s="161" t="b">
        <v>0</v>
      </c>
      <c r="D15" s="162" t="b">
        <v>0</v>
      </c>
      <c r="E15" s="162" t="b">
        <v>0</v>
      </c>
      <c r="F15" s="162" t="b">
        <v>0</v>
      </c>
      <c r="G15" s="162" t="b">
        <v>0</v>
      </c>
      <c r="H15" s="162" t="b">
        <v>0</v>
      </c>
      <c r="I15" s="162" t="b">
        <v>0</v>
      </c>
      <c r="J15" s="163" t="b">
        <v>0</v>
      </c>
      <c r="K15" s="163" t="b">
        <v>0</v>
      </c>
      <c r="L15" s="163" t="b">
        <v>0</v>
      </c>
      <c r="M15" s="163" t="b">
        <v>0</v>
      </c>
      <c r="N15" s="163" t="b">
        <v>0</v>
      </c>
      <c r="O15" s="163" t="b">
        <v>0</v>
      </c>
      <c r="P15" s="163" t="b">
        <v>0</v>
      </c>
      <c r="Q15" s="164" t="b">
        <v>0</v>
      </c>
      <c r="R15" s="164" t="b">
        <v>0</v>
      </c>
      <c r="S15" s="164" t="b">
        <v>0</v>
      </c>
      <c r="T15" s="164" t="b">
        <v>0</v>
      </c>
      <c r="U15" s="164" t="b">
        <v>0</v>
      </c>
      <c r="V15" s="164" t="b">
        <v>0</v>
      </c>
      <c r="W15" s="164" t="b">
        <v>0</v>
      </c>
      <c r="X15" s="165" t="b">
        <v>0</v>
      </c>
      <c r="Y15" s="165" t="b">
        <v>0</v>
      </c>
      <c r="Z15" s="165" t="b">
        <v>0</v>
      </c>
      <c r="AA15" s="165" t="b">
        <v>0</v>
      </c>
      <c r="AB15" s="165" t="b">
        <v>0</v>
      </c>
      <c r="AC15" s="165" t="b">
        <v>0</v>
      </c>
      <c r="AD15" s="165" t="b">
        <v>0</v>
      </c>
      <c r="AE15" s="166" t="b">
        <v>0</v>
      </c>
      <c r="AF15" s="166" t="b">
        <v>0</v>
      </c>
      <c r="AG15" s="166" t="b">
        <v>0</v>
      </c>
      <c r="AH15" s="149"/>
      <c r="AI15" s="167"/>
      <c r="AJ15" s="160">
        <v>0.0</v>
      </c>
      <c r="AK15" s="169" t="str">
        <f>IFERROR(__xludf.DUMMYFUNCTION("iferror(SPARKLINE(AJ15/AI15,{""charttype"",""bar"";""max"",1;""color1"",""#c9e4b2""}))"),"")</f>
        <v/>
      </c>
      <c r="AL15" s="46"/>
      <c r="AM15" s="47"/>
      <c r="AN15" s="170"/>
    </row>
    <row r="16" ht="17.25" customHeight="1">
      <c r="A16" s="121"/>
      <c r="B16" s="160"/>
      <c r="C16" s="161" t="b">
        <v>0</v>
      </c>
      <c r="D16" s="162" t="b">
        <v>0</v>
      </c>
      <c r="E16" s="162" t="b">
        <v>0</v>
      </c>
      <c r="F16" s="162" t="b">
        <v>0</v>
      </c>
      <c r="G16" s="162" t="b">
        <v>0</v>
      </c>
      <c r="H16" s="162" t="b">
        <v>0</v>
      </c>
      <c r="I16" s="162" t="b">
        <v>0</v>
      </c>
      <c r="J16" s="163" t="b">
        <v>0</v>
      </c>
      <c r="K16" s="163" t="b">
        <v>0</v>
      </c>
      <c r="L16" s="163" t="b">
        <v>0</v>
      </c>
      <c r="M16" s="163" t="b">
        <v>0</v>
      </c>
      <c r="N16" s="163" t="b">
        <v>0</v>
      </c>
      <c r="O16" s="163" t="b">
        <v>0</v>
      </c>
      <c r="P16" s="163" t="b">
        <v>0</v>
      </c>
      <c r="Q16" s="164" t="b">
        <v>0</v>
      </c>
      <c r="R16" s="164" t="b">
        <v>0</v>
      </c>
      <c r="S16" s="164" t="b">
        <v>0</v>
      </c>
      <c r="T16" s="164" t="b">
        <v>0</v>
      </c>
      <c r="U16" s="164" t="b">
        <v>0</v>
      </c>
      <c r="V16" s="164" t="b">
        <v>0</v>
      </c>
      <c r="W16" s="164" t="b">
        <v>0</v>
      </c>
      <c r="X16" s="165" t="b">
        <v>0</v>
      </c>
      <c r="Y16" s="165" t="b">
        <v>0</v>
      </c>
      <c r="Z16" s="165" t="b">
        <v>0</v>
      </c>
      <c r="AA16" s="165" t="b">
        <v>0</v>
      </c>
      <c r="AB16" s="165" t="b">
        <v>0</v>
      </c>
      <c r="AC16" s="165" t="b">
        <v>0</v>
      </c>
      <c r="AD16" s="165" t="b">
        <v>0</v>
      </c>
      <c r="AE16" s="166" t="b">
        <v>0</v>
      </c>
      <c r="AF16" s="166" t="b">
        <v>0</v>
      </c>
      <c r="AG16" s="166" t="b">
        <v>0</v>
      </c>
      <c r="AH16" s="149"/>
      <c r="AI16" s="167"/>
      <c r="AJ16" s="160">
        <v>0.0</v>
      </c>
      <c r="AK16" s="169" t="str">
        <f>IFERROR(__xludf.DUMMYFUNCTION("iferror(SPARKLINE(AJ16/AI16,{""charttype"",""bar"";""max"",1;""color1"",""#c9e4b2""}))"),"")</f>
        <v/>
      </c>
      <c r="AL16" s="46"/>
      <c r="AM16" s="47"/>
      <c r="AN16" s="170"/>
    </row>
    <row r="17" ht="17.25" customHeight="1">
      <c r="A17" s="121"/>
      <c r="B17" s="160"/>
      <c r="C17" s="161" t="b">
        <v>0</v>
      </c>
      <c r="D17" s="162" t="b">
        <v>0</v>
      </c>
      <c r="E17" s="162" t="b">
        <v>0</v>
      </c>
      <c r="F17" s="162" t="b">
        <v>0</v>
      </c>
      <c r="G17" s="162" t="b">
        <v>0</v>
      </c>
      <c r="H17" s="162" t="b">
        <v>0</v>
      </c>
      <c r="I17" s="162" t="b">
        <v>0</v>
      </c>
      <c r="J17" s="163" t="b">
        <v>0</v>
      </c>
      <c r="K17" s="163" t="b">
        <v>0</v>
      </c>
      <c r="L17" s="163" t="b">
        <v>0</v>
      </c>
      <c r="M17" s="163" t="b">
        <v>0</v>
      </c>
      <c r="N17" s="163" t="b">
        <v>0</v>
      </c>
      <c r="O17" s="163" t="b">
        <v>0</v>
      </c>
      <c r="P17" s="163" t="b">
        <v>0</v>
      </c>
      <c r="Q17" s="164" t="b">
        <v>0</v>
      </c>
      <c r="R17" s="164" t="b">
        <v>0</v>
      </c>
      <c r="S17" s="164" t="b">
        <v>0</v>
      </c>
      <c r="T17" s="164" t="b">
        <v>0</v>
      </c>
      <c r="U17" s="164" t="b">
        <v>0</v>
      </c>
      <c r="V17" s="164" t="b">
        <v>0</v>
      </c>
      <c r="W17" s="164" t="b">
        <v>0</v>
      </c>
      <c r="X17" s="165" t="b">
        <v>0</v>
      </c>
      <c r="Y17" s="165" t="b">
        <v>0</v>
      </c>
      <c r="Z17" s="165" t="b">
        <v>0</v>
      </c>
      <c r="AA17" s="165" t="b">
        <v>0</v>
      </c>
      <c r="AB17" s="165" t="b">
        <v>0</v>
      </c>
      <c r="AC17" s="165" t="b">
        <v>0</v>
      </c>
      <c r="AD17" s="165" t="b">
        <v>0</v>
      </c>
      <c r="AE17" s="166" t="b">
        <v>0</v>
      </c>
      <c r="AF17" s="166" t="b">
        <v>0</v>
      </c>
      <c r="AG17" s="166" t="b">
        <v>0</v>
      </c>
      <c r="AH17" s="149"/>
      <c r="AI17" s="167"/>
      <c r="AJ17" s="160">
        <v>0.0</v>
      </c>
      <c r="AK17" s="169" t="str">
        <f>IFERROR(__xludf.DUMMYFUNCTION("iferror(SPARKLINE(AJ17/AI17,{""charttype"",""bar"";""max"",1;""color1"",""#c9e4b2""}))"),"")</f>
        <v/>
      </c>
      <c r="AL17" s="46"/>
      <c r="AM17" s="47"/>
      <c r="AN17" s="170"/>
    </row>
    <row r="18" ht="17.25" customHeight="1">
      <c r="A18" s="121"/>
      <c r="B18" s="160"/>
      <c r="C18" s="161" t="b">
        <v>0</v>
      </c>
      <c r="D18" s="162" t="b">
        <v>0</v>
      </c>
      <c r="E18" s="162" t="b">
        <v>0</v>
      </c>
      <c r="F18" s="162" t="b">
        <v>0</v>
      </c>
      <c r="G18" s="162" t="b">
        <v>0</v>
      </c>
      <c r="H18" s="162" t="b">
        <v>0</v>
      </c>
      <c r="I18" s="162" t="b">
        <v>0</v>
      </c>
      <c r="J18" s="163" t="b">
        <v>0</v>
      </c>
      <c r="K18" s="163" t="b">
        <v>0</v>
      </c>
      <c r="L18" s="163" t="b">
        <v>0</v>
      </c>
      <c r="M18" s="163" t="b">
        <v>0</v>
      </c>
      <c r="N18" s="163" t="b">
        <v>0</v>
      </c>
      <c r="O18" s="163" t="b">
        <v>0</v>
      </c>
      <c r="P18" s="163" t="b">
        <v>0</v>
      </c>
      <c r="Q18" s="164" t="b">
        <v>0</v>
      </c>
      <c r="R18" s="164" t="b">
        <v>0</v>
      </c>
      <c r="S18" s="164" t="b">
        <v>0</v>
      </c>
      <c r="T18" s="164" t="b">
        <v>0</v>
      </c>
      <c r="U18" s="164" t="b">
        <v>0</v>
      </c>
      <c r="V18" s="164" t="b">
        <v>0</v>
      </c>
      <c r="W18" s="164" t="b">
        <v>0</v>
      </c>
      <c r="X18" s="165" t="b">
        <v>0</v>
      </c>
      <c r="Y18" s="165" t="b">
        <v>0</v>
      </c>
      <c r="Z18" s="165" t="b">
        <v>0</v>
      </c>
      <c r="AA18" s="165" t="b">
        <v>0</v>
      </c>
      <c r="AB18" s="165" t="b">
        <v>0</v>
      </c>
      <c r="AC18" s="165" t="b">
        <v>0</v>
      </c>
      <c r="AD18" s="165" t="b">
        <v>0</v>
      </c>
      <c r="AE18" s="166" t="b">
        <v>0</v>
      </c>
      <c r="AF18" s="166" t="b">
        <v>0</v>
      </c>
      <c r="AG18" s="166" t="b">
        <v>0</v>
      </c>
      <c r="AH18" s="149"/>
      <c r="AI18" s="167"/>
      <c r="AJ18" s="160">
        <v>0.0</v>
      </c>
      <c r="AK18" s="169" t="str">
        <f>IFERROR(__xludf.DUMMYFUNCTION("iferror(SPARKLINE(AJ18/AI18,{""charttype"",""bar"";""max"",1;""color1"",""#c9e4b2""}))"),"")</f>
        <v/>
      </c>
      <c r="AL18" s="46"/>
      <c r="AM18" s="47"/>
      <c r="AN18" s="170"/>
    </row>
    <row r="19" ht="17.25" customHeight="1">
      <c r="A19" s="121"/>
      <c r="B19" s="160"/>
      <c r="C19" s="161" t="b">
        <v>0</v>
      </c>
      <c r="D19" s="162" t="b">
        <v>0</v>
      </c>
      <c r="E19" s="162" t="b">
        <v>0</v>
      </c>
      <c r="F19" s="162" t="b">
        <v>0</v>
      </c>
      <c r="G19" s="162" t="b">
        <v>0</v>
      </c>
      <c r="H19" s="162" t="b">
        <v>0</v>
      </c>
      <c r="I19" s="162" t="b">
        <v>0</v>
      </c>
      <c r="J19" s="163" t="b">
        <v>0</v>
      </c>
      <c r="K19" s="163" t="b">
        <v>0</v>
      </c>
      <c r="L19" s="163" t="b">
        <v>0</v>
      </c>
      <c r="M19" s="163" t="b">
        <v>0</v>
      </c>
      <c r="N19" s="163" t="b">
        <v>0</v>
      </c>
      <c r="O19" s="163" t="b">
        <v>0</v>
      </c>
      <c r="P19" s="163" t="b">
        <v>0</v>
      </c>
      <c r="Q19" s="164" t="b">
        <v>0</v>
      </c>
      <c r="R19" s="164" t="b">
        <v>0</v>
      </c>
      <c r="S19" s="164" t="b">
        <v>0</v>
      </c>
      <c r="T19" s="164" t="b">
        <v>0</v>
      </c>
      <c r="U19" s="164" t="b">
        <v>0</v>
      </c>
      <c r="V19" s="164" t="b">
        <v>0</v>
      </c>
      <c r="W19" s="164" t="b">
        <v>0</v>
      </c>
      <c r="X19" s="165" t="b">
        <v>0</v>
      </c>
      <c r="Y19" s="165" t="b">
        <v>0</v>
      </c>
      <c r="Z19" s="165" t="b">
        <v>0</v>
      </c>
      <c r="AA19" s="165" t="b">
        <v>0</v>
      </c>
      <c r="AB19" s="165" t="b">
        <v>0</v>
      </c>
      <c r="AC19" s="165" t="b">
        <v>0</v>
      </c>
      <c r="AD19" s="165" t="b">
        <v>0</v>
      </c>
      <c r="AE19" s="166" t="b">
        <v>0</v>
      </c>
      <c r="AF19" s="166" t="b">
        <v>0</v>
      </c>
      <c r="AG19" s="166" t="b">
        <v>0</v>
      </c>
      <c r="AH19" s="149"/>
      <c r="AI19" s="167"/>
      <c r="AJ19" s="160">
        <v>0.0</v>
      </c>
      <c r="AK19" s="169" t="str">
        <f>IFERROR(__xludf.DUMMYFUNCTION("iferror(SPARKLINE(AJ19/AI19,{""charttype"",""bar"";""max"",1;""color1"",""#c9e4b2""}))"),"")</f>
        <v/>
      </c>
      <c r="AL19" s="46"/>
      <c r="AM19" s="47"/>
      <c r="AN19" s="170"/>
    </row>
    <row r="20" ht="17.25" customHeight="1">
      <c r="A20" s="121"/>
      <c r="B20" s="160"/>
      <c r="C20" s="161" t="b">
        <v>0</v>
      </c>
      <c r="D20" s="162" t="b">
        <v>0</v>
      </c>
      <c r="E20" s="162" t="b">
        <v>0</v>
      </c>
      <c r="F20" s="162" t="b">
        <v>0</v>
      </c>
      <c r="G20" s="162" t="b">
        <v>0</v>
      </c>
      <c r="H20" s="162" t="b">
        <v>0</v>
      </c>
      <c r="I20" s="162" t="b">
        <v>0</v>
      </c>
      <c r="J20" s="163" t="b">
        <v>0</v>
      </c>
      <c r="K20" s="163" t="b">
        <v>0</v>
      </c>
      <c r="L20" s="163" t="b">
        <v>0</v>
      </c>
      <c r="M20" s="163" t="b">
        <v>0</v>
      </c>
      <c r="N20" s="163" t="b">
        <v>0</v>
      </c>
      <c r="O20" s="163" t="b">
        <v>0</v>
      </c>
      <c r="P20" s="163" t="b">
        <v>0</v>
      </c>
      <c r="Q20" s="164" t="b">
        <v>0</v>
      </c>
      <c r="R20" s="164" t="b">
        <v>0</v>
      </c>
      <c r="S20" s="164" t="b">
        <v>0</v>
      </c>
      <c r="T20" s="164" t="b">
        <v>0</v>
      </c>
      <c r="U20" s="164" t="b">
        <v>0</v>
      </c>
      <c r="V20" s="164" t="b">
        <v>0</v>
      </c>
      <c r="W20" s="164" t="b">
        <v>0</v>
      </c>
      <c r="X20" s="165" t="b">
        <v>0</v>
      </c>
      <c r="Y20" s="165" t="b">
        <v>0</v>
      </c>
      <c r="Z20" s="165" t="b">
        <v>0</v>
      </c>
      <c r="AA20" s="165" t="b">
        <v>0</v>
      </c>
      <c r="AB20" s="165" t="b">
        <v>0</v>
      </c>
      <c r="AC20" s="165" t="b">
        <v>0</v>
      </c>
      <c r="AD20" s="165" t="b">
        <v>0</v>
      </c>
      <c r="AE20" s="166" t="b">
        <v>0</v>
      </c>
      <c r="AF20" s="166" t="b">
        <v>0</v>
      </c>
      <c r="AG20" s="166" t="b">
        <v>0</v>
      </c>
      <c r="AH20" s="149"/>
      <c r="AI20" s="167"/>
      <c r="AJ20" s="160">
        <v>0.0</v>
      </c>
      <c r="AK20" s="169" t="str">
        <f>IFERROR(__xludf.DUMMYFUNCTION("iferror(SPARKLINE(AJ20/AI20,{""charttype"",""bar"";""max"",1;""color1"",""#c9e4b2""}))"),"")</f>
        <v/>
      </c>
      <c r="AL20" s="46"/>
      <c r="AM20" s="47"/>
      <c r="AN20" s="170"/>
    </row>
    <row r="21" ht="17.25" customHeight="1">
      <c r="A21" s="121"/>
      <c r="B21" s="160"/>
      <c r="C21" s="171" t="b">
        <v>0</v>
      </c>
      <c r="D21" s="172" t="b">
        <v>0</v>
      </c>
      <c r="E21" s="172" t="b">
        <v>0</v>
      </c>
      <c r="F21" s="172" t="b">
        <v>0</v>
      </c>
      <c r="G21" s="172" t="b">
        <v>0</v>
      </c>
      <c r="H21" s="172" t="b">
        <v>0</v>
      </c>
      <c r="I21" s="172" t="b">
        <v>0</v>
      </c>
      <c r="J21" s="173" t="b">
        <v>0</v>
      </c>
      <c r="K21" s="173" t="b">
        <v>0</v>
      </c>
      <c r="L21" s="173" t="b">
        <v>0</v>
      </c>
      <c r="M21" s="173" t="b">
        <v>0</v>
      </c>
      <c r="N21" s="173" t="b">
        <v>0</v>
      </c>
      <c r="O21" s="173" t="b">
        <v>0</v>
      </c>
      <c r="P21" s="173" t="b">
        <v>0</v>
      </c>
      <c r="Q21" s="174" t="b">
        <v>0</v>
      </c>
      <c r="R21" s="174" t="b">
        <v>0</v>
      </c>
      <c r="S21" s="174" t="b">
        <v>0</v>
      </c>
      <c r="T21" s="174" t="b">
        <v>0</v>
      </c>
      <c r="U21" s="174" t="b">
        <v>0</v>
      </c>
      <c r="V21" s="174" t="b">
        <v>0</v>
      </c>
      <c r="W21" s="174" t="b">
        <v>0</v>
      </c>
      <c r="X21" s="175" t="b">
        <v>0</v>
      </c>
      <c r="Y21" s="175" t="b">
        <v>0</v>
      </c>
      <c r="Z21" s="175" t="b">
        <v>0</v>
      </c>
      <c r="AA21" s="175" t="b">
        <v>0</v>
      </c>
      <c r="AB21" s="175" t="b">
        <v>0</v>
      </c>
      <c r="AC21" s="175" t="b">
        <v>0</v>
      </c>
      <c r="AD21" s="175" t="b">
        <v>0</v>
      </c>
      <c r="AE21" s="176" t="b">
        <v>0</v>
      </c>
      <c r="AF21" s="176" t="b">
        <v>0</v>
      </c>
      <c r="AG21" s="176" t="b">
        <v>0</v>
      </c>
      <c r="AH21" s="149"/>
      <c r="AI21" s="167"/>
      <c r="AJ21" s="160">
        <v>0.0</v>
      </c>
      <c r="AK21" s="169" t="str">
        <f>IFERROR(__xludf.DUMMYFUNCTION("iferror(SPARKLINE(AJ21/AI21,{""charttype"",""bar"";""max"",1;""color1"",""#c9e4b2""}))"),"")</f>
        <v/>
      </c>
      <c r="AL21" s="46"/>
      <c r="AM21" s="47"/>
      <c r="AN21" s="170"/>
    </row>
    <row r="22" ht="17.25" customHeight="1">
      <c r="A22" s="121"/>
      <c r="B22" s="121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49"/>
      <c r="AK22" s="149"/>
      <c r="AL22" s="149"/>
      <c r="AM22" s="149"/>
      <c r="AN22" s="149"/>
    </row>
    <row r="23" ht="17.25" customHeight="1">
      <c r="A23" s="121"/>
      <c r="B23" s="219" t="s">
        <v>26</v>
      </c>
      <c r="C23" s="178">
        <f t="shared" ref="C23:AG23" si="1">COUNTIF(C10:C21, TRUE)/COUNTA(C10:C21)</f>
        <v>0</v>
      </c>
      <c r="D23" s="178">
        <f t="shared" si="1"/>
        <v>0</v>
      </c>
      <c r="E23" s="178">
        <f t="shared" si="1"/>
        <v>0</v>
      </c>
      <c r="F23" s="178">
        <f t="shared" si="1"/>
        <v>0</v>
      </c>
      <c r="G23" s="178">
        <f t="shared" si="1"/>
        <v>0</v>
      </c>
      <c r="H23" s="178">
        <f t="shared" si="1"/>
        <v>0</v>
      </c>
      <c r="I23" s="178">
        <f t="shared" si="1"/>
        <v>0</v>
      </c>
      <c r="J23" s="178">
        <f t="shared" si="1"/>
        <v>0</v>
      </c>
      <c r="K23" s="178">
        <f t="shared" si="1"/>
        <v>0</v>
      </c>
      <c r="L23" s="178">
        <f t="shared" si="1"/>
        <v>0</v>
      </c>
      <c r="M23" s="178">
        <f t="shared" si="1"/>
        <v>0</v>
      </c>
      <c r="N23" s="178">
        <f t="shared" si="1"/>
        <v>0</v>
      </c>
      <c r="O23" s="178">
        <f t="shared" si="1"/>
        <v>0</v>
      </c>
      <c r="P23" s="178">
        <f t="shared" si="1"/>
        <v>0</v>
      </c>
      <c r="Q23" s="178">
        <f t="shared" si="1"/>
        <v>0</v>
      </c>
      <c r="R23" s="178">
        <f t="shared" si="1"/>
        <v>0</v>
      </c>
      <c r="S23" s="178">
        <f t="shared" si="1"/>
        <v>0</v>
      </c>
      <c r="T23" s="178">
        <f t="shared" si="1"/>
        <v>0</v>
      </c>
      <c r="U23" s="178">
        <f t="shared" si="1"/>
        <v>0</v>
      </c>
      <c r="V23" s="178">
        <f t="shared" si="1"/>
        <v>0</v>
      </c>
      <c r="W23" s="178">
        <f t="shared" si="1"/>
        <v>0</v>
      </c>
      <c r="X23" s="178">
        <f t="shared" si="1"/>
        <v>0</v>
      </c>
      <c r="Y23" s="178">
        <f t="shared" si="1"/>
        <v>0</v>
      </c>
      <c r="Z23" s="178">
        <f t="shared" si="1"/>
        <v>0</v>
      </c>
      <c r="AA23" s="178">
        <f t="shared" si="1"/>
        <v>0</v>
      </c>
      <c r="AB23" s="178">
        <f t="shared" si="1"/>
        <v>0</v>
      </c>
      <c r="AC23" s="178">
        <f t="shared" si="1"/>
        <v>0</v>
      </c>
      <c r="AD23" s="178">
        <f t="shared" si="1"/>
        <v>0</v>
      </c>
      <c r="AE23" s="178">
        <f t="shared" si="1"/>
        <v>0</v>
      </c>
      <c r="AF23" s="178">
        <f t="shared" si="1"/>
        <v>0</v>
      </c>
      <c r="AG23" s="178">
        <f t="shared" si="1"/>
        <v>0</v>
      </c>
      <c r="AH23" s="149"/>
      <c r="AI23" s="179"/>
      <c r="AJ23" s="180"/>
      <c r="AK23" s="149"/>
      <c r="AL23" s="149"/>
      <c r="AM23" s="149"/>
      <c r="AN23" s="149"/>
    </row>
    <row r="24" ht="17.25" customHeight="1">
      <c r="A24" s="121"/>
      <c r="B24" s="219" t="s">
        <v>51</v>
      </c>
      <c r="C24" s="181">
        <f t="shared" ref="C24:AG24" si="2">COUNTIF(C10:C21, true)</f>
        <v>0</v>
      </c>
      <c r="D24" s="181">
        <f t="shared" si="2"/>
        <v>0</v>
      </c>
      <c r="E24" s="181">
        <f t="shared" si="2"/>
        <v>0</v>
      </c>
      <c r="F24" s="181">
        <f t="shared" si="2"/>
        <v>0</v>
      </c>
      <c r="G24" s="181">
        <f t="shared" si="2"/>
        <v>0</v>
      </c>
      <c r="H24" s="181">
        <f t="shared" si="2"/>
        <v>0</v>
      </c>
      <c r="I24" s="181">
        <f t="shared" si="2"/>
        <v>0</v>
      </c>
      <c r="J24" s="181">
        <f t="shared" si="2"/>
        <v>0</v>
      </c>
      <c r="K24" s="181">
        <f t="shared" si="2"/>
        <v>0</v>
      </c>
      <c r="L24" s="181">
        <f t="shared" si="2"/>
        <v>0</v>
      </c>
      <c r="M24" s="181">
        <f t="shared" si="2"/>
        <v>0</v>
      </c>
      <c r="N24" s="181">
        <f t="shared" si="2"/>
        <v>0</v>
      </c>
      <c r="O24" s="181">
        <f t="shared" si="2"/>
        <v>0</v>
      </c>
      <c r="P24" s="181">
        <f t="shared" si="2"/>
        <v>0</v>
      </c>
      <c r="Q24" s="181">
        <f t="shared" si="2"/>
        <v>0</v>
      </c>
      <c r="R24" s="181">
        <f t="shared" si="2"/>
        <v>0</v>
      </c>
      <c r="S24" s="181">
        <f t="shared" si="2"/>
        <v>0</v>
      </c>
      <c r="T24" s="181">
        <f t="shared" si="2"/>
        <v>0</v>
      </c>
      <c r="U24" s="181">
        <f t="shared" si="2"/>
        <v>0</v>
      </c>
      <c r="V24" s="181">
        <f t="shared" si="2"/>
        <v>0</v>
      </c>
      <c r="W24" s="181">
        <f t="shared" si="2"/>
        <v>0</v>
      </c>
      <c r="X24" s="181">
        <f t="shared" si="2"/>
        <v>0</v>
      </c>
      <c r="Y24" s="181">
        <f t="shared" si="2"/>
        <v>0</v>
      </c>
      <c r="Z24" s="181">
        <f t="shared" si="2"/>
        <v>0</v>
      </c>
      <c r="AA24" s="181">
        <f t="shared" si="2"/>
        <v>0</v>
      </c>
      <c r="AB24" s="181">
        <f t="shared" si="2"/>
        <v>0</v>
      </c>
      <c r="AC24" s="181">
        <f t="shared" si="2"/>
        <v>0</v>
      </c>
      <c r="AD24" s="181">
        <f t="shared" si="2"/>
        <v>0</v>
      </c>
      <c r="AE24" s="181">
        <f t="shared" si="2"/>
        <v>0</v>
      </c>
      <c r="AF24" s="181">
        <f t="shared" si="2"/>
        <v>0</v>
      </c>
      <c r="AG24" s="181">
        <f t="shared" si="2"/>
        <v>0</v>
      </c>
      <c r="AH24" s="149"/>
      <c r="AI24" s="179"/>
      <c r="AJ24" s="180"/>
      <c r="AK24" s="149"/>
      <c r="AL24" s="149"/>
      <c r="AM24" s="149"/>
      <c r="AN24" s="149"/>
    </row>
    <row r="25" ht="17.25" customHeight="1">
      <c r="A25" s="121"/>
      <c r="B25" s="219" t="s">
        <v>52</v>
      </c>
      <c r="C25" s="182">
        <f t="shared" ref="C25:AG25" si="3">COUNTIF(C10:C21, false)</f>
        <v>12</v>
      </c>
      <c r="D25" s="182">
        <f t="shared" si="3"/>
        <v>12</v>
      </c>
      <c r="E25" s="182">
        <f t="shared" si="3"/>
        <v>12</v>
      </c>
      <c r="F25" s="182">
        <f t="shared" si="3"/>
        <v>12</v>
      </c>
      <c r="G25" s="182">
        <f t="shared" si="3"/>
        <v>12</v>
      </c>
      <c r="H25" s="182">
        <f t="shared" si="3"/>
        <v>12</v>
      </c>
      <c r="I25" s="182">
        <f t="shared" si="3"/>
        <v>12</v>
      </c>
      <c r="J25" s="182">
        <f t="shared" si="3"/>
        <v>12</v>
      </c>
      <c r="K25" s="182">
        <f t="shared" si="3"/>
        <v>12</v>
      </c>
      <c r="L25" s="182">
        <f t="shared" si="3"/>
        <v>12</v>
      </c>
      <c r="M25" s="182">
        <f t="shared" si="3"/>
        <v>12</v>
      </c>
      <c r="N25" s="182">
        <f t="shared" si="3"/>
        <v>12</v>
      </c>
      <c r="O25" s="182">
        <f t="shared" si="3"/>
        <v>12</v>
      </c>
      <c r="P25" s="182">
        <f t="shared" si="3"/>
        <v>12</v>
      </c>
      <c r="Q25" s="182">
        <f t="shared" si="3"/>
        <v>12</v>
      </c>
      <c r="R25" s="182">
        <f t="shared" si="3"/>
        <v>12</v>
      </c>
      <c r="S25" s="182">
        <f t="shared" si="3"/>
        <v>12</v>
      </c>
      <c r="T25" s="182">
        <f t="shared" si="3"/>
        <v>12</v>
      </c>
      <c r="U25" s="182">
        <f t="shared" si="3"/>
        <v>12</v>
      </c>
      <c r="V25" s="182">
        <f t="shared" si="3"/>
        <v>12</v>
      </c>
      <c r="W25" s="182">
        <f t="shared" si="3"/>
        <v>12</v>
      </c>
      <c r="X25" s="182">
        <f t="shared" si="3"/>
        <v>12</v>
      </c>
      <c r="Y25" s="182">
        <f t="shared" si="3"/>
        <v>12</v>
      </c>
      <c r="Z25" s="182">
        <f t="shared" si="3"/>
        <v>12</v>
      </c>
      <c r="AA25" s="182">
        <f t="shared" si="3"/>
        <v>12</v>
      </c>
      <c r="AB25" s="182">
        <f t="shared" si="3"/>
        <v>12</v>
      </c>
      <c r="AC25" s="182">
        <f t="shared" si="3"/>
        <v>12</v>
      </c>
      <c r="AD25" s="182">
        <f t="shared" si="3"/>
        <v>12</v>
      </c>
      <c r="AE25" s="182">
        <f t="shared" si="3"/>
        <v>12</v>
      </c>
      <c r="AF25" s="182">
        <f t="shared" si="3"/>
        <v>12</v>
      </c>
      <c r="AG25" s="182">
        <f t="shared" si="3"/>
        <v>12</v>
      </c>
      <c r="AH25" s="149"/>
      <c r="AI25" s="179"/>
      <c r="AJ25" s="180"/>
      <c r="AK25" s="149"/>
      <c r="AL25" s="149"/>
      <c r="AM25" s="149"/>
      <c r="AN25" s="149"/>
    </row>
    <row r="26" ht="17.25" customHeight="1">
      <c r="A26" s="121"/>
      <c r="B26" s="121"/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  <c r="AA26" s="149"/>
      <c r="AB26" s="149"/>
      <c r="AC26" s="149"/>
      <c r="AD26" s="149"/>
      <c r="AE26" s="149"/>
      <c r="AF26" s="149"/>
      <c r="AG26" s="149"/>
      <c r="AH26" s="149"/>
      <c r="AI26" s="179"/>
      <c r="AJ26" s="180"/>
      <c r="AK26" s="149"/>
      <c r="AL26" s="149"/>
      <c r="AM26" s="149"/>
      <c r="AN26" s="149"/>
    </row>
    <row r="27" ht="17.25" customHeight="1">
      <c r="A27" s="121"/>
      <c r="B27" s="121"/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  <c r="AA27" s="149"/>
      <c r="AB27" s="149"/>
      <c r="AC27" s="149"/>
      <c r="AD27" s="149"/>
      <c r="AE27" s="149"/>
      <c r="AF27" s="149"/>
      <c r="AG27" s="149"/>
      <c r="AH27" s="149"/>
      <c r="AI27" s="179"/>
      <c r="AJ27" s="180"/>
      <c r="AK27" s="149"/>
      <c r="AL27" s="149"/>
      <c r="AM27" s="149"/>
      <c r="AN27" s="149"/>
    </row>
    <row r="28" ht="17.25" customHeight="1">
      <c r="A28" s="121"/>
      <c r="B28" s="121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  <c r="AB28" s="149"/>
      <c r="AC28" s="149"/>
      <c r="AD28" s="149"/>
      <c r="AE28" s="149"/>
      <c r="AF28" s="149"/>
      <c r="AG28" s="149"/>
      <c r="AH28" s="149"/>
      <c r="AI28" s="179"/>
      <c r="AJ28" s="180"/>
      <c r="AK28" s="149"/>
      <c r="AL28" s="149"/>
      <c r="AM28" s="149"/>
      <c r="AN28" s="149"/>
    </row>
    <row r="29" ht="17.25" customHeight="1">
      <c r="A29" s="121"/>
      <c r="B29" s="121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79"/>
      <c r="AJ29" s="180"/>
      <c r="AK29" s="149"/>
      <c r="AL29" s="149"/>
      <c r="AM29" s="149"/>
      <c r="AN29" s="149"/>
    </row>
    <row r="30" ht="17.25" customHeight="1">
      <c r="A30" s="121"/>
      <c r="B30" s="121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49"/>
      <c r="AE30" s="149"/>
      <c r="AF30" s="149"/>
      <c r="AG30" s="149"/>
      <c r="AH30" s="149"/>
      <c r="AI30" s="179"/>
      <c r="AJ30" s="180"/>
      <c r="AK30" s="149"/>
      <c r="AL30" s="149"/>
      <c r="AM30" s="149"/>
      <c r="AN30" s="149"/>
    </row>
    <row r="31" ht="17.25" customHeight="1">
      <c r="A31" s="121"/>
      <c r="B31" s="121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  <c r="AI31" s="179"/>
      <c r="AJ31" s="180"/>
      <c r="AK31" s="149"/>
      <c r="AL31" s="149"/>
      <c r="AM31" s="149"/>
      <c r="AN31" s="149"/>
    </row>
    <row r="32" ht="17.25" customHeight="1">
      <c r="A32" s="121"/>
      <c r="B32" s="121"/>
      <c r="C32" s="149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79"/>
      <c r="AJ32" s="180"/>
      <c r="AK32" s="149"/>
      <c r="AL32" s="149"/>
      <c r="AM32" s="149"/>
      <c r="AN32" s="149"/>
    </row>
    <row r="33" ht="17.25" customHeight="1">
      <c r="A33" s="121"/>
      <c r="B33" s="121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149"/>
      <c r="AG33" s="149"/>
      <c r="AH33" s="149"/>
      <c r="AI33" s="179"/>
      <c r="AJ33" s="180"/>
      <c r="AK33" s="149"/>
      <c r="AL33" s="149"/>
      <c r="AM33" s="149"/>
      <c r="AN33" s="149"/>
    </row>
    <row r="34" ht="17.25" customHeight="1">
      <c r="A34" s="121"/>
      <c r="B34" s="121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  <c r="AC34" s="149"/>
      <c r="AD34" s="149"/>
      <c r="AE34" s="149"/>
      <c r="AF34" s="149"/>
      <c r="AG34" s="149"/>
      <c r="AH34" s="149"/>
      <c r="AI34" s="179"/>
      <c r="AJ34" s="180"/>
      <c r="AK34" s="149"/>
      <c r="AL34" s="149"/>
      <c r="AM34" s="149"/>
      <c r="AN34" s="149"/>
    </row>
    <row r="35" ht="17.25" customHeight="1">
      <c r="A35" s="121"/>
      <c r="B35" s="121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149"/>
      <c r="AE35" s="149"/>
      <c r="AF35" s="149"/>
      <c r="AG35" s="149"/>
      <c r="AH35" s="149"/>
      <c r="AI35" s="183"/>
      <c r="AJ35" s="183"/>
      <c r="AK35" s="149"/>
      <c r="AL35" s="149"/>
      <c r="AM35" s="149"/>
      <c r="AN35" s="149"/>
    </row>
    <row r="36" ht="17.25" customHeight="1">
      <c r="A36" s="121"/>
      <c r="B36" s="184" t="s">
        <v>53</v>
      </c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7"/>
      <c r="AH36" s="149"/>
      <c r="AI36" s="184" t="s">
        <v>54</v>
      </c>
      <c r="AJ36" s="46"/>
      <c r="AK36" s="46"/>
      <c r="AL36" s="46"/>
      <c r="AM36" s="47"/>
      <c r="AN36" s="149"/>
    </row>
    <row r="37" ht="17.25" customHeight="1">
      <c r="A37" s="121"/>
      <c r="B37" s="185" t="s">
        <v>55</v>
      </c>
      <c r="C37" s="186"/>
      <c r="D37" s="186"/>
      <c r="E37" s="186"/>
      <c r="F37" s="186"/>
      <c r="G37" s="186"/>
      <c r="H37" s="186"/>
      <c r="I37" s="186"/>
      <c r="J37" s="186"/>
      <c r="K37" s="186"/>
      <c r="L37" s="186"/>
      <c r="M37" s="186"/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  <c r="AA37" s="186"/>
      <c r="AB37" s="186"/>
      <c r="AC37" s="186"/>
      <c r="AD37" s="186"/>
      <c r="AE37" s="186"/>
      <c r="AF37" s="186"/>
      <c r="AG37" s="186"/>
      <c r="AH37" s="149"/>
      <c r="AI37" s="187" t="str">
        <f t="shared" ref="AI37:AI39" si="4">iferror(Average(C37:AG37), "")</f>
        <v/>
      </c>
      <c r="AJ37" s="46"/>
      <c r="AK37" s="46"/>
      <c r="AL37" s="46"/>
      <c r="AM37" s="47"/>
      <c r="AN37" s="149"/>
    </row>
    <row r="38" ht="17.25" customHeight="1">
      <c r="A38" s="121"/>
      <c r="B38" s="185" t="s">
        <v>56</v>
      </c>
      <c r="C38" s="188"/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88"/>
      <c r="P38" s="188"/>
      <c r="Q38" s="188"/>
      <c r="R38" s="188"/>
      <c r="S38" s="188"/>
      <c r="T38" s="188"/>
      <c r="U38" s="188"/>
      <c r="V38" s="188"/>
      <c r="W38" s="188"/>
      <c r="X38" s="188"/>
      <c r="Y38" s="188"/>
      <c r="Z38" s="188"/>
      <c r="AA38" s="188"/>
      <c r="AB38" s="188"/>
      <c r="AC38" s="188"/>
      <c r="AD38" s="188"/>
      <c r="AE38" s="188"/>
      <c r="AF38" s="188"/>
      <c r="AG38" s="188"/>
      <c r="AH38" s="149"/>
      <c r="AI38" s="187" t="str">
        <f t="shared" si="4"/>
        <v/>
      </c>
      <c r="AJ38" s="46"/>
      <c r="AK38" s="46"/>
      <c r="AL38" s="46"/>
      <c r="AM38" s="47"/>
      <c r="AN38" s="149"/>
    </row>
    <row r="39" ht="17.25" customHeight="1">
      <c r="A39" s="121"/>
      <c r="B39" s="185" t="s">
        <v>63</v>
      </c>
      <c r="C39" s="189"/>
      <c r="D39" s="189"/>
      <c r="E39" s="189"/>
      <c r="F39" s="189"/>
      <c r="G39" s="189"/>
      <c r="H39" s="189"/>
      <c r="I39" s="189"/>
      <c r="J39" s="189"/>
      <c r="K39" s="189"/>
      <c r="L39" s="189"/>
      <c r="M39" s="189"/>
      <c r="N39" s="189"/>
      <c r="O39" s="189"/>
      <c r="P39" s="189"/>
      <c r="Q39" s="189"/>
      <c r="R39" s="189"/>
      <c r="S39" s="189"/>
      <c r="T39" s="189"/>
      <c r="U39" s="189"/>
      <c r="V39" s="189"/>
      <c r="W39" s="189"/>
      <c r="X39" s="189"/>
      <c r="Y39" s="189"/>
      <c r="Z39" s="189"/>
      <c r="AA39" s="189"/>
      <c r="AB39" s="189"/>
      <c r="AC39" s="189"/>
      <c r="AD39" s="189"/>
      <c r="AE39" s="189"/>
      <c r="AF39" s="189"/>
      <c r="AG39" s="189"/>
      <c r="AH39" s="149"/>
      <c r="AI39" s="187" t="str">
        <f t="shared" si="4"/>
        <v/>
      </c>
      <c r="AJ39" s="46"/>
      <c r="AK39" s="46"/>
      <c r="AL39" s="46"/>
      <c r="AM39" s="47"/>
      <c r="AN39" s="149"/>
    </row>
    <row r="40" ht="17.25" customHeight="1">
      <c r="A40" s="121"/>
      <c r="B40" s="121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  <c r="AK40" s="149"/>
      <c r="AL40" s="149"/>
      <c r="AM40" s="149"/>
      <c r="AN40" s="149"/>
    </row>
    <row r="41" ht="17.25" customHeight="1">
      <c r="A41" s="121"/>
      <c r="B41" s="121"/>
      <c r="C41" s="149"/>
      <c r="D41" s="149"/>
      <c r="E41" s="149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  <c r="AB41" s="149"/>
      <c r="AC41" s="149"/>
      <c r="AD41" s="149"/>
      <c r="AE41" s="149"/>
      <c r="AF41" s="149"/>
      <c r="AG41" s="149"/>
      <c r="AH41" s="149"/>
      <c r="AI41" s="149"/>
      <c r="AJ41" s="149"/>
      <c r="AK41" s="149"/>
      <c r="AL41" s="149"/>
      <c r="AM41" s="149"/>
      <c r="AN41" s="149"/>
    </row>
    <row r="42" ht="17.25" customHeight="1">
      <c r="A42" s="121"/>
      <c r="B42" s="136" t="s">
        <v>58</v>
      </c>
      <c r="C42" s="190" t="s">
        <v>44</v>
      </c>
      <c r="D42" s="46"/>
      <c r="E42" s="46"/>
      <c r="F42" s="46"/>
      <c r="G42" s="46"/>
      <c r="H42" s="47"/>
      <c r="I42" s="151"/>
      <c r="J42" s="191" t="s">
        <v>45</v>
      </c>
      <c r="K42" s="46"/>
      <c r="L42" s="46"/>
      <c r="M42" s="46"/>
      <c r="N42" s="46"/>
      <c r="O42" s="47"/>
      <c r="P42" s="152"/>
      <c r="Q42" s="192" t="s">
        <v>46</v>
      </c>
      <c r="R42" s="46"/>
      <c r="S42" s="46"/>
      <c r="T42" s="46"/>
      <c r="U42" s="46"/>
      <c r="V42" s="47"/>
      <c r="W42" s="154"/>
      <c r="X42" s="193" t="s">
        <v>47</v>
      </c>
      <c r="Y42" s="46"/>
      <c r="Z42" s="46"/>
      <c r="AA42" s="46"/>
      <c r="AB42" s="46"/>
      <c r="AC42" s="47"/>
      <c r="AD42" s="153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</row>
    <row r="43" ht="17.25" customHeight="1">
      <c r="A43" s="121"/>
      <c r="B43" s="86"/>
      <c r="C43" s="194"/>
      <c r="D43" s="46"/>
      <c r="E43" s="46"/>
      <c r="F43" s="46"/>
      <c r="G43" s="46"/>
      <c r="H43" s="47"/>
      <c r="I43" s="195" t="b">
        <v>0</v>
      </c>
      <c r="J43" s="196"/>
      <c r="K43" s="46"/>
      <c r="L43" s="46"/>
      <c r="M43" s="46"/>
      <c r="N43" s="46"/>
      <c r="O43" s="47"/>
      <c r="P43" s="197" t="b">
        <v>0</v>
      </c>
      <c r="Q43" s="198"/>
      <c r="R43" s="46"/>
      <c r="S43" s="46"/>
      <c r="T43" s="46"/>
      <c r="U43" s="46"/>
      <c r="V43" s="47"/>
      <c r="W43" s="199" t="b">
        <v>0</v>
      </c>
      <c r="X43" s="200"/>
      <c r="Y43" s="46"/>
      <c r="Z43" s="46"/>
      <c r="AA43" s="46"/>
      <c r="AB43" s="46"/>
      <c r="AC43" s="47"/>
      <c r="AD43" s="201" t="b">
        <v>0</v>
      </c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</row>
    <row r="44" ht="17.25" customHeight="1">
      <c r="A44" s="121"/>
      <c r="B44" s="121"/>
      <c r="C44" s="194"/>
      <c r="D44" s="46"/>
      <c r="E44" s="46"/>
      <c r="F44" s="46"/>
      <c r="G44" s="46"/>
      <c r="H44" s="47"/>
      <c r="I44" s="195" t="b">
        <v>0</v>
      </c>
      <c r="J44" s="196"/>
      <c r="K44" s="46"/>
      <c r="L44" s="46"/>
      <c r="M44" s="46"/>
      <c r="N44" s="46"/>
      <c r="O44" s="47"/>
      <c r="P44" s="197" t="b">
        <v>0</v>
      </c>
      <c r="Q44" s="198"/>
      <c r="R44" s="46"/>
      <c r="S44" s="46"/>
      <c r="T44" s="46"/>
      <c r="U44" s="46"/>
      <c r="V44" s="47"/>
      <c r="W44" s="199" t="b">
        <v>0</v>
      </c>
      <c r="X44" s="200"/>
      <c r="Y44" s="46"/>
      <c r="Z44" s="46"/>
      <c r="AA44" s="46"/>
      <c r="AB44" s="46"/>
      <c r="AC44" s="47"/>
      <c r="AD44" s="201" t="b">
        <v>0</v>
      </c>
      <c r="AE44" s="121"/>
      <c r="AF44" s="121"/>
      <c r="AG44" s="202" t="s">
        <v>59</v>
      </c>
      <c r="AH44" s="121"/>
      <c r="AI44" s="121"/>
      <c r="AJ44" s="121"/>
      <c r="AK44" s="121"/>
      <c r="AL44" s="121"/>
      <c r="AM44" s="121"/>
      <c r="AN44" s="121"/>
    </row>
    <row r="45" ht="17.25" customHeight="1">
      <c r="A45" s="121"/>
      <c r="B45" s="121"/>
      <c r="C45" s="194"/>
      <c r="D45" s="46"/>
      <c r="E45" s="46"/>
      <c r="F45" s="46"/>
      <c r="G45" s="46"/>
      <c r="H45" s="47"/>
      <c r="I45" s="195" t="b">
        <v>0</v>
      </c>
      <c r="J45" s="196"/>
      <c r="K45" s="46"/>
      <c r="L45" s="46"/>
      <c r="M45" s="46"/>
      <c r="N45" s="46"/>
      <c r="O45" s="47"/>
      <c r="P45" s="197" t="b">
        <v>0</v>
      </c>
      <c r="Q45" s="198"/>
      <c r="R45" s="46"/>
      <c r="S45" s="46"/>
      <c r="T45" s="46"/>
      <c r="U45" s="46"/>
      <c r="V45" s="47"/>
      <c r="W45" s="199" t="b">
        <v>0</v>
      </c>
      <c r="X45" s="200"/>
      <c r="Y45" s="46"/>
      <c r="Z45" s="46"/>
      <c r="AA45" s="46"/>
      <c r="AB45" s="46"/>
      <c r="AC45" s="47"/>
      <c r="AD45" s="201" t="b">
        <v>0</v>
      </c>
      <c r="AE45" s="121"/>
      <c r="AF45" s="121"/>
      <c r="AG45" s="203">
        <v>10.0</v>
      </c>
      <c r="AH45" s="120"/>
      <c r="AI45" s="120"/>
      <c r="AJ45" s="120"/>
      <c r="AK45" s="120"/>
      <c r="AL45" s="120"/>
      <c r="AM45" s="120"/>
      <c r="AN45" s="120"/>
    </row>
    <row r="46" ht="17.25" customHeight="1">
      <c r="A46" s="121"/>
      <c r="B46" s="121"/>
      <c r="C46" s="194"/>
      <c r="D46" s="46"/>
      <c r="E46" s="46"/>
      <c r="F46" s="46"/>
      <c r="G46" s="46"/>
      <c r="H46" s="47"/>
      <c r="I46" s="195" t="b">
        <v>0</v>
      </c>
      <c r="J46" s="196"/>
      <c r="K46" s="46"/>
      <c r="L46" s="46"/>
      <c r="M46" s="46"/>
      <c r="N46" s="46"/>
      <c r="O46" s="47"/>
      <c r="P46" s="197" t="b">
        <v>0</v>
      </c>
      <c r="Q46" s="198"/>
      <c r="R46" s="46"/>
      <c r="S46" s="46"/>
      <c r="T46" s="46"/>
      <c r="U46" s="46"/>
      <c r="V46" s="47"/>
      <c r="W46" s="199" t="b">
        <v>0</v>
      </c>
      <c r="X46" s="200"/>
      <c r="Y46" s="46"/>
      <c r="Z46" s="46"/>
      <c r="AA46" s="46"/>
      <c r="AB46" s="46"/>
      <c r="AC46" s="47"/>
      <c r="AD46" s="201" t="b">
        <v>0</v>
      </c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</row>
    <row r="47" ht="17.25" customHeight="1">
      <c r="A47" s="121"/>
      <c r="B47" s="121"/>
      <c r="C47" s="194"/>
      <c r="D47" s="46"/>
      <c r="E47" s="46"/>
      <c r="F47" s="46"/>
      <c r="G47" s="46"/>
      <c r="H47" s="47"/>
      <c r="I47" s="195" t="b">
        <v>0</v>
      </c>
      <c r="J47" s="196"/>
      <c r="K47" s="46"/>
      <c r="L47" s="46"/>
      <c r="M47" s="46"/>
      <c r="N47" s="46"/>
      <c r="O47" s="47"/>
      <c r="P47" s="197" t="b">
        <v>0</v>
      </c>
      <c r="Q47" s="198"/>
      <c r="R47" s="46"/>
      <c r="S47" s="46"/>
      <c r="T47" s="46"/>
      <c r="U47" s="46"/>
      <c r="V47" s="47"/>
      <c r="W47" s="199" t="b">
        <v>0</v>
      </c>
      <c r="X47" s="200"/>
      <c r="Y47" s="46"/>
      <c r="Z47" s="46"/>
      <c r="AA47" s="46"/>
      <c r="AB47" s="46"/>
      <c r="AC47" s="47"/>
      <c r="AD47" s="201" t="b">
        <v>0</v>
      </c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</row>
    <row r="48" ht="17.25" customHeight="1">
      <c r="A48" s="121"/>
      <c r="B48" s="121"/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</row>
    <row r="49" ht="17.25" customHeight="1">
      <c r="A49" s="121"/>
      <c r="B49" s="136" t="s">
        <v>60</v>
      </c>
      <c r="C49" s="204"/>
      <c r="D49" s="50"/>
      <c r="E49" s="50"/>
      <c r="F49" s="50"/>
      <c r="G49" s="50"/>
      <c r="H49" s="50"/>
      <c r="I49" s="51"/>
      <c r="J49" s="204"/>
      <c r="K49" s="50"/>
      <c r="L49" s="50"/>
      <c r="M49" s="50"/>
      <c r="N49" s="50"/>
      <c r="O49" s="50"/>
      <c r="P49" s="51"/>
      <c r="Q49" s="204"/>
      <c r="R49" s="50"/>
      <c r="S49" s="50"/>
      <c r="T49" s="50"/>
      <c r="U49" s="50"/>
      <c r="V49" s="50"/>
      <c r="W49" s="51"/>
      <c r="X49" s="204"/>
      <c r="Y49" s="50"/>
      <c r="Z49" s="50"/>
      <c r="AA49" s="50"/>
      <c r="AB49" s="50"/>
      <c r="AC49" s="50"/>
      <c r="AD49" s="5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</row>
    <row r="50" ht="17.25" customHeight="1">
      <c r="A50" s="121"/>
      <c r="B50" s="205"/>
      <c r="C50" s="206"/>
      <c r="D50" s="55"/>
      <c r="E50" s="55"/>
      <c r="F50" s="55"/>
      <c r="G50" s="55"/>
      <c r="H50" s="55"/>
      <c r="I50" s="56"/>
      <c r="J50" s="206"/>
      <c r="K50" s="55"/>
      <c r="L50" s="55"/>
      <c r="M50" s="55"/>
      <c r="N50" s="55"/>
      <c r="O50" s="55"/>
      <c r="P50" s="56"/>
      <c r="Q50" s="206"/>
      <c r="R50" s="55"/>
      <c r="S50" s="55"/>
      <c r="T50" s="55"/>
      <c r="U50" s="55"/>
      <c r="V50" s="55"/>
      <c r="W50" s="56"/>
      <c r="X50" s="206"/>
      <c r="Y50" s="55"/>
      <c r="Z50" s="55"/>
      <c r="AA50" s="55"/>
      <c r="AB50" s="55"/>
      <c r="AC50" s="55"/>
      <c r="AD50" s="56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</row>
    <row r="51" ht="17.25" customHeight="1">
      <c r="A51" s="121"/>
      <c r="B51" s="86"/>
      <c r="C51" s="207"/>
      <c r="D51" s="60"/>
      <c r="E51" s="60"/>
      <c r="F51" s="60"/>
      <c r="G51" s="60"/>
      <c r="H51" s="60"/>
      <c r="I51" s="61"/>
      <c r="J51" s="207"/>
      <c r="K51" s="60"/>
      <c r="L51" s="60"/>
      <c r="M51" s="60"/>
      <c r="N51" s="60"/>
      <c r="O51" s="60"/>
      <c r="P51" s="61"/>
      <c r="Q51" s="207"/>
      <c r="R51" s="60"/>
      <c r="S51" s="60"/>
      <c r="T51" s="60"/>
      <c r="U51" s="60"/>
      <c r="V51" s="60"/>
      <c r="W51" s="61"/>
      <c r="X51" s="207"/>
      <c r="Y51" s="60"/>
      <c r="Z51" s="60"/>
      <c r="AA51" s="60"/>
      <c r="AB51" s="60"/>
      <c r="AC51" s="60"/>
      <c r="AD51" s="6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</row>
    <row r="52" ht="17.25" customHeight="1">
      <c r="A52" s="121"/>
      <c r="B52" s="121"/>
      <c r="C52" s="208"/>
      <c r="I52" s="170"/>
      <c r="J52" s="208"/>
      <c r="P52" s="170"/>
      <c r="Q52" s="208"/>
      <c r="W52" s="170"/>
      <c r="X52" s="208"/>
      <c r="AD52" s="170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</row>
    <row r="53" ht="17.25" customHeight="1">
      <c r="A53" s="121"/>
      <c r="B53" s="121"/>
      <c r="C53" s="121"/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</row>
    <row r="54" ht="17.25" customHeight="1">
      <c r="A54" s="121"/>
      <c r="B54" s="62" t="s">
        <v>61</v>
      </c>
      <c r="C54" s="209" t="s">
        <v>62</v>
      </c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7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</row>
    <row r="55" ht="17.25" customHeight="1">
      <c r="A55" s="121"/>
      <c r="B55" s="43"/>
      <c r="C55" s="210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7"/>
      <c r="P55" s="211" t="b">
        <v>0</v>
      </c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</row>
    <row r="56" ht="17.25" customHeight="1">
      <c r="A56" s="121"/>
      <c r="B56" s="212"/>
      <c r="C56" s="210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7"/>
      <c r="P56" s="211" t="b">
        <v>0</v>
      </c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</row>
    <row r="57" ht="17.25" customHeight="1">
      <c r="A57" s="121"/>
      <c r="B57" s="212"/>
      <c r="C57" s="210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7"/>
      <c r="P57" s="211" t="b">
        <v>0</v>
      </c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</row>
    <row r="58" ht="17.25" customHeight="1">
      <c r="A58" s="121"/>
      <c r="B58" s="212"/>
      <c r="C58" s="210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7"/>
      <c r="P58" s="211" t="b">
        <v>0</v>
      </c>
      <c r="Q58" s="121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  <c r="AL58" s="121"/>
      <c r="AM58" s="121"/>
      <c r="AN58" s="121"/>
    </row>
    <row r="59" ht="17.25" customHeight="1">
      <c r="A59" s="121"/>
      <c r="B59" s="212"/>
      <c r="C59" s="210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7"/>
      <c r="P59" s="211" t="b">
        <v>0</v>
      </c>
      <c r="Q59" s="121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1"/>
      <c r="AM59" s="121"/>
      <c r="AN59" s="121"/>
    </row>
    <row r="60" ht="17.25" customHeight="1">
      <c r="A60" s="121"/>
      <c r="B60" s="121"/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  <c r="AE60" s="121"/>
      <c r="AF60" s="121"/>
      <c r="AG60" s="121"/>
      <c r="AH60" s="121"/>
      <c r="AI60" s="121"/>
      <c r="AJ60" s="121"/>
      <c r="AK60" s="121"/>
      <c r="AL60" s="121"/>
      <c r="AM60" s="121"/>
      <c r="AN60" s="121"/>
    </row>
    <row r="61" ht="17.25" hidden="1" customHeight="1">
      <c r="A61" s="121"/>
      <c r="B61" s="121"/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1"/>
      <c r="AL61" s="121"/>
      <c r="AM61" s="121"/>
      <c r="AN61" s="121"/>
    </row>
    <row r="62" ht="17.25" hidden="1" customHeight="1">
      <c r="A62" s="121"/>
      <c r="B62" s="213">
        <f>COUNTIF($I$43:$I$47, true)</f>
        <v>0</v>
      </c>
      <c r="C62" s="214" t="str">
        <f t="array" ref="C62:H66">$C$43:$H$47</f>
        <v/>
      </c>
      <c r="D62" s="214"/>
      <c r="E62" s="214"/>
      <c r="F62" s="214"/>
      <c r="G62" s="214"/>
      <c r="H62" s="214"/>
      <c r="I62" s="213">
        <f t="array" ref="I62">COUNTA(UNIQUE($C$62:$C$140))</f>
        <v>0</v>
      </c>
      <c r="J62" s="215">
        <f>sum($B$62,$B$78,$B$110,$B$126)</f>
        <v>0</v>
      </c>
      <c r="K62" s="213">
        <f>sum(COUNTA($I$43:$I$47),COUNTA($P$43:$P$47),COUNTA($W$43:$W$47),COUNTA($AD$43:$AD$47),COUNTA($P$55:$P$59))</f>
        <v>25</v>
      </c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121"/>
      <c r="AK62" s="121"/>
      <c r="AL62" s="121"/>
      <c r="AM62" s="121"/>
      <c r="AN62" s="121"/>
    </row>
    <row r="63" ht="17.25" hidden="1" customHeight="1">
      <c r="A63" s="121"/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 s="121"/>
      <c r="AH63" s="121"/>
      <c r="AI63" s="121"/>
      <c r="AJ63" s="121"/>
      <c r="AK63" s="121"/>
      <c r="AL63" s="121"/>
      <c r="AM63" s="121"/>
      <c r="AN63" s="121"/>
    </row>
    <row r="64" ht="17.25" hidden="1" customHeight="1">
      <c r="A64" s="121"/>
      <c r="B64" s="214"/>
      <c r="C64" s="214"/>
      <c r="D64" s="214"/>
      <c r="E64" s="214"/>
      <c r="F64" s="214"/>
      <c r="G64" s="214"/>
      <c r="H64" s="214"/>
      <c r="I64" s="214"/>
      <c r="J64" s="214"/>
      <c r="K64" s="214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121"/>
      <c r="AK64" s="121"/>
      <c r="AL64" s="121"/>
      <c r="AM64" s="121"/>
      <c r="AN64" s="121"/>
    </row>
    <row r="65" ht="17.25" hidden="1" customHeight="1">
      <c r="A65" s="121"/>
      <c r="B65" s="214"/>
      <c r="C65" s="214"/>
      <c r="D65" s="214"/>
      <c r="E65" s="214"/>
      <c r="F65" s="214"/>
      <c r="G65" s="214"/>
      <c r="H65" s="214"/>
      <c r="I65" s="214"/>
      <c r="J65" s="214"/>
      <c r="K65" s="214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1"/>
      <c r="AI65" s="121"/>
      <c r="AJ65" s="121"/>
      <c r="AK65" s="121"/>
      <c r="AL65" s="121"/>
      <c r="AM65" s="121"/>
      <c r="AN65" s="121"/>
    </row>
    <row r="66" ht="17.25" hidden="1" customHeight="1">
      <c r="A66" s="121"/>
      <c r="B66" s="214"/>
      <c r="C66" s="214"/>
      <c r="D66" s="214"/>
      <c r="E66" s="214"/>
      <c r="F66" s="214"/>
      <c r="G66" s="214"/>
      <c r="H66" s="214"/>
      <c r="I66" s="214"/>
      <c r="J66" s="214"/>
      <c r="K66" s="214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  <c r="AA66" s="121"/>
      <c r="AB66" s="121"/>
      <c r="AC66" s="121"/>
      <c r="AD66" s="121"/>
      <c r="AE66" s="121"/>
      <c r="AF66" s="121"/>
      <c r="AG66" s="121"/>
      <c r="AH66" s="121"/>
      <c r="AI66" s="121"/>
      <c r="AJ66" s="121"/>
      <c r="AK66" s="121"/>
      <c r="AL66" s="121"/>
      <c r="AM66" s="121"/>
      <c r="AN66" s="121"/>
    </row>
    <row r="67" ht="17.25" hidden="1" customHeight="1">
      <c r="A67" s="121"/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1"/>
      <c r="AJ67" s="121"/>
      <c r="AK67" s="121"/>
      <c r="AL67" s="121"/>
      <c r="AM67" s="121"/>
      <c r="AN67" s="121"/>
    </row>
    <row r="68" ht="17.25" hidden="1" customHeight="1">
      <c r="A68" s="121"/>
      <c r="B68" s="214"/>
      <c r="C68" s="214"/>
      <c r="D68" s="214"/>
      <c r="E68" s="214"/>
      <c r="F68" s="214"/>
      <c r="G68" s="214"/>
      <c r="H68" s="214"/>
      <c r="I68" s="214"/>
      <c r="J68" s="214"/>
      <c r="K68" s="214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  <c r="AA68" s="121"/>
      <c r="AB68" s="121"/>
      <c r="AC68" s="121"/>
      <c r="AD68" s="121"/>
      <c r="AE68" s="121"/>
      <c r="AF68" s="121"/>
      <c r="AG68" s="121"/>
      <c r="AH68" s="121"/>
      <c r="AI68" s="121"/>
      <c r="AJ68" s="121"/>
      <c r="AK68" s="121"/>
      <c r="AL68" s="121"/>
      <c r="AM68" s="121"/>
      <c r="AN68" s="121"/>
    </row>
    <row r="69" ht="17.25" hidden="1" customHeight="1">
      <c r="A69" s="121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  <c r="AC69" s="121"/>
      <c r="AD69" s="121"/>
      <c r="AE69" s="121"/>
      <c r="AF69" s="121"/>
      <c r="AG69" s="121"/>
      <c r="AH69" s="121"/>
      <c r="AI69" s="121"/>
      <c r="AJ69" s="121"/>
      <c r="AK69" s="121"/>
      <c r="AL69" s="121"/>
      <c r="AM69" s="121"/>
      <c r="AN69" s="121"/>
    </row>
    <row r="70" ht="17.25" hidden="1" customHeight="1">
      <c r="A70" s="121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  <c r="AC70" s="121"/>
      <c r="AD70" s="121"/>
      <c r="AE70" s="121"/>
      <c r="AF70" s="121"/>
      <c r="AG70" s="121"/>
      <c r="AH70" s="121"/>
      <c r="AI70" s="121"/>
      <c r="AJ70" s="121"/>
      <c r="AK70" s="121"/>
      <c r="AL70" s="121"/>
      <c r="AM70" s="121"/>
      <c r="AN70" s="121"/>
    </row>
    <row r="71" ht="17.25" hidden="1" customHeight="1">
      <c r="A71" s="121"/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  <c r="AD71" s="121"/>
      <c r="AE71" s="121"/>
      <c r="AF71" s="121"/>
      <c r="AG71" s="121"/>
      <c r="AH71" s="121"/>
      <c r="AI71" s="121"/>
      <c r="AJ71" s="121"/>
      <c r="AK71" s="121"/>
      <c r="AL71" s="121"/>
      <c r="AM71" s="121"/>
      <c r="AN71" s="121"/>
    </row>
    <row r="72" ht="17.25" hidden="1" customHeight="1">
      <c r="A72" s="121"/>
      <c r="B72" s="214"/>
      <c r="C72" s="214"/>
      <c r="D72" s="214"/>
      <c r="E72" s="214"/>
      <c r="F72" s="214"/>
      <c r="G72" s="214"/>
      <c r="H72" s="214"/>
      <c r="I72" s="214"/>
      <c r="J72" s="214"/>
      <c r="K72" s="214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  <c r="AD72" s="121"/>
      <c r="AE72" s="121"/>
      <c r="AF72" s="121"/>
      <c r="AG72" s="121"/>
      <c r="AH72" s="121"/>
      <c r="AI72" s="121"/>
      <c r="AJ72" s="121"/>
      <c r="AK72" s="121"/>
      <c r="AL72" s="121"/>
      <c r="AM72" s="121"/>
      <c r="AN72" s="121"/>
    </row>
    <row r="73" ht="17.25" hidden="1" customHeight="1">
      <c r="A73" s="121"/>
      <c r="B73" s="214"/>
      <c r="C73" s="214"/>
      <c r="D73" s="214"/>
      <c r="E73" s="214"/>
      <c r="F73" s="214"/>
      <c r="G73" s="214"/>
      <c r="H73" s="214"/>
      <c r="I73" s="214"/>
      <c r="J73" s="214"/>
      <c r="K73" s="214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  <c r="AA73" s="121"/>
      <c r="AB73" s="121"/>
      <c r="AC73" s="121"/>
      <c r="AD73" s="121"/>
      <c r="AE73" s="121"/>
      <c r="AF73" s="121"/>
      <c r="AG73" s="121"/>
      <c r="AH73" s="121"/>
      <c r="AI73" s="121"/>
      <c r="AJ73" s="121"/>
      <c r="AK73" s="121"/>
      <c r="AL73" s="121"/>
      <c r="AM73" s="121"/>
      <c r="AN73" s="121"/>
    </row>
    <row r="74" ht="17.25" hidden="1" customHeight="1">
      <c r="A74" s="121"/>
      <c r="B74" s="214"/>
      <c r="C74" s="214"/>
      <c r="D74" s="214"/>
      <c r="E74" s="214"/>
      <c r="F74" s="214"/>
      <c r="G74" s="214"/>
      <c r="H74" s="214"/>
      <c r="I74" s="214"/>
      <c r="J74" s="214"/>
      <c r="K74" s="214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  <c r="AD74" s="121"/>
      <c r="AE74" s="121"/>
      <c r="AF74" s="121"/>
      <c r="AG74" s="121"/>
      <c r="AH74" s="121"/>
      <c r="AI74" s="121"/>
      <c r="AJ74" s="121"/>
      <c r="AK74" s="121"/>
      <c r="AL74" s="121"/>
      <c r="AM74" s="121"/>
      <c r="AN74" s="121"/>
    </row>
    <row r="75" ht="17.25" hidden="1" customHeight="1">
      <c r="A75" s="121"/>
      <c r="B75" s="214"/>
      <c r="C75" s="214"/>
      <c r="D75" s="214"/>
      <c r="E75" s="214"/>
      <c r="F75" s="214"/>
      <c r="G75" s="214"/>
      <c r="H75" s="214"/>
      <c r="I75" s="214"/>
      <c r="J75" s="214"/>
      <c r="K75" s="214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  <c r="AD75" s="121"/>
      <c r="AE75" s="121"/>
      <c r="AF75" s="121"/>
      <c r="AG75" s="121"/>
      <c r="AH75" s="121"/>
      <c r="AI75" s="121"/>
      <c r="AJ75" s="121"/>
      <c r="AK75" s="121"/>
      <c r="AL75" s="121"/>
      <c r="AM75" s="121"/>
      <c r="AN75" s="121"/>
    </row>
    <row r="76" ht="17.25" hidden="1" customHeight="1">
      <c r="A76" s="121"/>
      <c r="B76" s="214"/>
      <c r="C76" s="214"/>
      <c r="D76" s="214"/>
      <c r="E76" s="214"/>
      <c r="F76" s="214"/>
      <c r="G76" s="214"/>
      <c r="H76" s="214"/>
      <c r="I76" s="214"/>
      <c r="J76" s="214"/>
      <c r="K76" s="214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  <c r="AC76" s="121"/>
      <c r="AD76" s="121"/>
      <c r="AE76" s="121"/>
      <c r="AF76" s="121"/>
      <c r="AG76" s="121"/>
      <c r="AH76" s="121"/>
      <c r="AI76" s="121"/>
      <c r="AJ76" s="121"/>
      <c r="AK76" s="121"/>
      <c r="AL76" s="121"/>
      <c r="AM76" s="121"/>
      <c r="AN76" s="121"/>
    </row>
    <row r="77" ht="17.25" hidden="1" customHeight="1">
      <c r="A77" s="121"/>
      <c r="B77" s="214"/>
      <c r="C77" s="214"/>
      <c r="D77" s="214"/>
      <c r="E77" s="214"/>
      <c r="F77" s="214"/>
      <c r="G77" s="214"/>
      <c r="H77" s="214"/>
      <c r="I77" s="214"/>
      <c r="J77" s="214"/>
      <c r="K77" s="214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  <c r="AD77" s="121"/>
      <c r="AE77" s="121"/>
      <c r="AF77" s="121"/>
      <c r="AG77" s="121"/>
      <c r="AH77" s="121"/>
      <c r="AI77" s="121"/>
      <c r="AJ77" s="121"/>
      <c r="AK77" s="121"/>
      <c r="AL77" s="121"/>
      <c r="AM77" s="121"/>
      <c r="AN77" s="121"/>
    </row>
    <row r="78" ht="17.25" hidden="1" customHeight="1">
      <c r="A78" s="121"/>
      <c r="B78" s="213">
        <f>COUNTIF($P$43:$P$47, true)</f>
        <v>0</v>
      </c>
      <c r="C78" s="214" t="str">
        <f t="array" ref="C78:H82">$J$43:$O$47</f>
        <v/>
      </c>
      <c r="D78" s="214"/>
      <c r="E78" s="214"/>
      <c r="F78" s="214"/>
      <c r="G78" s="214"/>
      <c r="H78" s="214"/>
      <c r="I78" s="214"/>
      <c r="J78" s="214"/>
      <c r="K78" s="214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  <c r="AD78" s="121"/>
      <c r="AE78" s="121"/>
      <c r="AF78" s="121"/>
      <c r="AG78" s="121"/>
      <c r="AH78" s="121"/>
      <c r="AI78" s="121"/>
      <c r="AJ78" s="121"/>
      <c r="AK78" s="121"/>
      <c r="AL78" s="121"/>
      <c r="AM78" s="121"/>
      <c r="AN78" s="121"/>
    </row>
    <row r="79" ht="17.25" hidden="1" customHeight="1">
      <c r="A79" s="121"/>
      <c r="B79" s="214"/>
      <c r="C79" s="214"/>
      <c r="D79" s="214"/>
      <c r="E79" s="214"/>
      <c r="F79" s="214"/>
      <c r="G79" s="214"/>
      <c r="H79" s="214"/>
      <c r="I79" s="214"/>
      <c r="J79" s="214"/>
      <c r="K79" s="214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  <c r="AC79" s="121"/>
      <c r="AD79" s="121"/>
      <c r="AE79" s="121"/>
      <c r="AF79" s="121"/>
      <c r="AG79" s="121"/>
      <c r="AH79" s="121"/>
      <c r="AI79" s="121"/>
      <c r="AJ79" s="121"/>
      <c r="AK79" s="121"/>
      <c r="AL79" s="121"/>
      <c r="AM79" s="121"/>
      <c r="AN79" s="121"/>
    </row>
    <row r="80" ht="17.25" hidden="1" customHeight="1">
      <c r="A80" s="121"/>
      <c r="B80" s="214"/>
      <c r="C80" s="214"/>
      <c r="D80" s="214"/>
      <c r="E80" s="214"/>
      <c r="F80" s="214"/>
      <c r="G80" s="214"/>
      <c r="H80" s="214"/>
      <c r="I80" s="214"/>
      <c r="J80" s="214"/>
      <c r="K80" s="214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  <c r="AA80" s="121"/>
      <c r="AB80" s="121"/>
      <c r="AC80" s="121"/>
      <c r="AD80" s="121"/>
      <c r="AE80" s="121"/>
      <c r="AF80" s="121"/>
      <c r="AG80" s="121"/>
      <c r="AH80" s="121"/>
      <c r="AI80" s="121"/>
      <c r="AJ80" s="121"/>
      <c r="AK80" s="121"/>
      <c r="AL80" s="121"/>
      <c r="AM80" s="121"/>
      <c r="AN80" s="121"/>
    </row>
    <row r="81" ht="17.25" hidden="1" customHeight="1">
      <c r="A81" s="121"/>
      <c r="B81" s="214"/>
      <c r="C81" s="214"/>
      <c r="D81" s="214"/>
      <c r="E81" s="214"/>
      <c r="F81" s="214"/>
      <c r="G81" s="214"/>
      <c r="H81" s="214"/>
      <c r="I81" s="214"/>
      <c r="J81" s="214"/>
      <c r="K81" s="214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1"/>
      <c r="AG81" s="121"/>
      <c r="AH81" s="121"/>
      <c r="AI81" s="121"/>
      <c r="AJ81" s="121"/>
      <c r="AK81" s="121"/>
      <c r="AL81" s="121"/>
      <c r="AM81" s="121"/>
      <c r="AN81" s="121"/>
    </row>
    <row r="82" ht="17.25" hidden="1" customHeight="1">
      <c r="A82" s="121"/>
      <c r="B82" s="214"/>
      <c r="C82" s="214"/>
      <c r="D82" s="214"/>
      <c r="E82" s="214"/>
      <c r="F82" s="214"/>
      <c r="G82" s="214"/>
      <c r="H82" s="214"/>
      <c r="I82" s="214"/>
      <c r="J82" s="214"/>
      <c r="K82" s="214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</row>
    <row r="83" ht="17.25" hidden="1" customHeight="1">
      <c r="A83" s="121"/>
      <c r="B83" s="214"/>
      <c r="C83" s="214"/>
      <c r="D83" s="214"/>
      <c r="E83" s="214"/>
      <c r="F83" s="214"/>
      <c r="G83" s="214"/>
      <c r="H83" s="214"/>
      <c r="I83" s="214"/>
      <c r="J83" s="214"/>
      <c r="K83" s="214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</row>
    <row r="84" ht="17.25" hidden="1" customHeight="1">
      <c r="A84" s="121"/>
      <c r="B84" s="214"/>
      <c r="C84" s="214"/>
      <c r="D84" s="214"/>
      <c r="E84" s="214"/>
      <c r="F84" s="214"/>
      <c r="G84" s="214"/>
      <c r="H84" s="214"/>
      <c r="I84" s="214"/>
      <c r="J84" s="214"/>
      <c r="K84" s="214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1"/>
      <c r="AE84" s="121"/>
      <c r="AF84" s="121"/>
      <c r="AG84" s="121"/>
      <c r="AH84" s="121"/>
      <c r="AI84" s="121"/>
      <c r="AJ84" s="121"/>
      <c r="AK84" s="121"/>
      <c r="AL84" s="121"/>
      <c r="AM84" s="121"/>
      <c r="AN84" s="121"/>
    </row>
    <row r="85" ht="17.25" hidden="1" customHeight="1">
      <c r="A85" s="121"/>
      <c r="B85" s="214"/>
      <c r="C85" s="214"/>
      <c r="D85" s="214"/>
      <c r="E85" s="214"/>
      <c r="F85" s="214"/>
      <c r="G85" s="214"/>
      <c r="H85" s="214"/>
      <c r="I85" s="214"/>
      <c r="J85" s="214"/>
      <c r="K85" s="214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1"/>
      <c r="AL85" s="121"/>
      <c r="AM85" s="121"/>
      <c r="AN85" s="121"/>
    </row>
    <row r="86" ht="17.25" hidden="1" customHeight="1">
      <c r="A86" s="121"/>
      <c r="B86" s="214"/>
      <c r="C86" s="214"/>
      <c r="D86" s="214"/>
      <c r="E86" s="214"/>
      <c r="F86" s="214"/>
      <c r="G86" s="214"/>
      <c r="H86" s="214"/>
      <c r="I86" s="214"/>
      <c r="J86" s="214"/>
      <c r="K86" s="214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</row>
    <row r="87" ht="17.25" hidden="1" customHeight="1">
      <c r="A87" s="121"/>
      <c r="B87" s="214"/>
      <c r="C87" s="214"/>
      <c r="D87" s="214"/>
      <c r="E87" s="214"/>
      <c r="F87" s="214"/>
      <c r="G87" s="214"/>
      <c r="H87" s="214"/>
      <c r="I87" s="214"/>
      <c r="J87" s="214"/>
      <c r="K87" s="214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</row>
    <row r="88" ht="17.25" hidden="1" customHeight="1">
      <c r="A88" s="121"/>
      <c r="B88" s="214"/>
      <c r="C88" s="214"/>
      <c r="D88" s="214"/>
      <c r="E88" s="214"/>
      <c r="F88" s="214"/>
      <c r="G88" s="214"/>
      <c r="H88" s="214"/>
      <c r="I88" s="214"/>
      <c r="J88" s="214"/>
      <c r="K88" s="214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</row>
    <row r="89" ht="17.25" hidden="1" customHeight="1">
      <c r="A89" s="121"/>
      <c r="B89" s="214"/>
      <c r="C89" s="214"/>
      <c r="D89" s="214"/>
      <c r="E89" s="214"/>
      <c r="F89" s="214"/>
      <c r="G89" s="214"/>
      <c r="H89" s="214"/>
      <c r="I89" s="214"/>
      <c r="J89" s="214"/>
      <c r="K89" s="214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</row>
    <row r="90" ht="17.25" hidden="1" customHeight="1">
      <c r="A90" s="121"/>
      <c r="B90" s="214"/>
      <c r="C90" s="214"/>
      <c r="D90" s="214"/>
      <c r="E90" s="214"/>
      <c r="F90" s="214"/>
      <c r="G90" s="214"/>
      <c r="H90" s="214"/>
      <c r="I90" s="214"/>
      <c r="J90" s="214"/>
      <c r="K90" s="214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</row>
    <row r="91" ht="17.25" hidden="1" customHeight="1">
      <c r="A91" s="121"/>
      <c r="B91" s="214"/>
      <c r="C91" s="214"/>
      <c r="D91" s="214"/>
      <c r="E91" s="214"/>
      <c r="F91" s="214"/>
      <c r="G91" s="214"/>
      <c r="H91" s="214"/>
      <c r="I91" s="214"/>
      <c r="J91" s="214"/>
      <c r="K91" s="214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</row>
    <row r="92" ht="17.25" hidden="1" customHeight="1">
      <c r="A92" s="121"/>
      <c r="B92" s="214"/>
      <c r="C92" s="214"/>
      <c r="D92" s="214"/>
      <c r="E92" s="214"/>
      <c r="F92" s="214"/>
      <c r="G92" s="214"/>
      <c r="H92" s="214"/>
      <c r="I92" s="214"/>
      <c r="J92" s="214"/>
      <c r="K92" s="214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</row>
    <row r="93" ht="17.25" hidden="1" customHeight="1">
      <c r="A93" s="121"/>
      <c r="B93" s="214"/>
      <c r="C93" s="214"/>
      <c r="D93" s="214"/>
      <c r="E93" s="214"/>
      <c r="F93" s="214"/>
      <c r="G93" s="214"/>
      <c r="H93" s="214"/>
      <c r="I93" s="214"/>
      <c r="J93" s="214"/>
      <c r="K93" s="214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</row>
    <row r="94" ht="17.25" hidden="1" customHeight="1">
      <c r="A94" s="121"/>
      <c r="B94" s="213">
        <f>COUNTIF($W$43:$W$47, true)</f>
        <v>0</v>
      </c>
      <c r="C94" s="214" t="str">
        <f t="array" ref="C94:H98">$Q$43:$V$47</f>
        <v/>
      </c>
      <c r="D94" s="214"/>
      <c r="E94" s="214"/>
      <c r="F94" s="214"/>
      <c r="G94" s="214"/>
      <c r="H94" s="214"/>
      <c r="I94" s="214"/>
      <c r="J94" s="214"/>
      <c r="K94" s="214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</row>
    <row r="95" ht="17.25" hidden="1" customHeight="1">
      <c r="A95" s="121"/>
      <c r="B95" s="214"/>
      <c r="C95" s="214"/>
      <c r="D95" s="214"/>
      <c r="E95" s="214"/>
      <c r="F95" s="214"/>
      <c r="G95" s="214"/>
      <c r="H95" s="214"/>
      <c r="I95" s="214"/>
      <c r="J95" s="214"/>
      <c r="K95" s="214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</row>
    <row r="96" ht="17.25" hidden="1" customHeight="1">
      <c r="A96" s="121"/>
      <c r="B96" s="214"/>
      <c r="C96" s="214"/>
      <c r="D96" s="214"/>
      <c r="E96" s="214"/>
      <c r="F96" s="214"/>
      <c r="G96" s="214"/>
      <c r="H96" s="214"/>
      <c r="I96" s="214"/>
      <c r="J96" s="214"/>
      <c r="K96" s="214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1"/>
      <c r="AH96" s="121"/>
      <c r="AI96" s="121"/>
      <c r="AJ96" s="121"/>
      <c r="AK96" s="121"/>
      <c r="AL96" s="121"/>
      <c r="AM96" s="121"/>
      <c r="AN96" s="121"/>
    </row>
    <row r="97" ht="17.25" hidden="1" customHeight="1">
      <c r="A97" s="121"/>
      <c r="B97" s="214"/>
      <c r="C97" s="214"/>
      <c r="D97" s="214"/>
      <c r="E97" s="214"/>
      <c r="F97" s="214"/>
      <c r="G97" s="214"/>
      <c r="H97" s="214"/>
      <c r="I97" s="214"/>
      <c r="J97" s="214"/>
      <c r="K97" s="214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  <c r="AA97" s="121"/>
      <c r="AB97" s="121"/>
      <c r="AC97" s="121"/>
      <c r="AD97" s="121"/>
      <c r="AE97" s="121"/>
      <c r="AF97" s="121"/>
      <c r="AG97" s="121"/>
      <c r="AH97" s="121"/>
      <c r="AI97" s="121"/>
      <c r="AJ97" s="121"/>
      <c r="AK97" s="121"/>
      <c r="AL97" s="121"/>
      <c r="AM97" s="121"/>
      <c r="AN97" s="121"/>
    </row>
    <row r="98" ht="17.25" hidden="1" customHeight="1">
      <c r="A98" s="121"/>
      <c r="B98" s="214"/>
      <c r="C98" s="214"/>
      <c r="D98" s="214"/>
      <c r="E98" s="214"/>
      <c r="F98" s="214"/>
      <c r="G98" s="214"/>
      <c r="H98" s="214"/>
      <c r="I98" s="214"/>
      <c r="J98" s="214"/>
      <c r="K98" s="214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1"/>
      <c r="AH98" s="121"/>
      <c r="AI98" s="121"/>
      <c r="AJ98" s="121"/>
      <c r="AK98" s="121"/>
      <c r="AL98" s="121"/>
      <c r="AM98" s="121"/>
      <c r="AN98" s="121"/>
    </row>
    <row r="99" ht="17.25" hidden="1" customHeight="1">
      <c r="A99" s="121"/>
      <c r="B99" s="214"/>
      <c r="C99" s="214"/>
      <c r="D99" s="214"/>
      <c r="E99" s="214"/>
      <c r="F99" s="214"/>
      <c r="G99" s="214"/>
      <c r="H99" s="214"/>
      <c r="I99" s="214"/>
      <c r="J99" s="214"/>
      <c r="K99" s="214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  <c r="AA99" s="121"/>
      <c r="AB99" s="121"/>
      <c r="AC99" s="121"/>
      <c r="AD99" s="121"/>
      <c r="AE99" s="121"/>
      <c r="AF99" s="121"/>
      <c r="AG99" s="121"/>
      <c r="AH99" s="121"/>
      <c r="AI99" s="121"/>
      <c r="AJ99" s="121"/>
      <c r="AK99" s="121"/>
      <c r="AL99" s="121"/>
      <c r="AM99" s="121"/>
      <c r="AN99" s="121"/>
    </row>
    <row r="100" ht="17.25" hidden="1" customHeight="1">
      <c r="A100" s="121"/>
      <c r="B100" s="214"/>
      <c r="C100" s="214"/>
      <c r="D100" s="214"/>
      <c r="E100" s="214"/>
      <c r="F100" s="214"/>
      <c r="G100" s="214"/>
      <c r="H100" s="214"/>
      <c r="I100" s="214"/>
      <c r="J100" s="214"/>
      <c r="K100" s="214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  <c r="AA100" s="121"/>
      <c r="AB100" s="121"/>
      <c r="AC100" s="121"/>
      <c r="AD100" s="121"/>
      <c r="AE100" s="121"/>
      <c r="AF100" s="121"/>
      <c r="AG100" s="121"/>
      <c r="AH100" s="121"/>
      <c r="AI100" s="121"/>
      <c r="AJ100" s="121"/>
      <c r="AK100" s="121"/>
      <c r="AL100" s="121"/>
      <c r="AM100" s="121"/>
      <c r="AN100" s="121"/>
    </row>
    <row r="101" ht="17.25" hidden="1" customHeight="1">
      <c r="A101" s="121"/>
      <c r="B101" s="214"/>
      <c r="C101" s="214"/>
      <c r="D101" s="214"/>
      <c r="E101" s="214"/>
      <c r="F101" s="214"/>
      <c r="G101" s="214"/>
      <c r="H101" s="214"/>
      <c r="I101" s="214"/>
      <c r="J101" s="214"/>
      <c r="K101" s="214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  <c r="AA101" s="121"/>
      <c r="AB101" s="121"/>
      <c r="AC101" s="121"/>
      <c r="AD101" s="121"/>
      <c r="AE101" s="121"/>
      <c r="AF101" s="121"/>
      <c r="AG101" s="121"/>
      <c r="AH101" s="121"/>
      <c r="AI101" s="121"/>
      <c r="AJ101" s="121"/>
      <c r="AK101" s="121"/>
      <c r="AL101" s="121"/>
      <c r="AM101" s="121"/>
      <c r="AN101" s="121"/>
    </row>
    <row r="102" ht="17.25" hidden="1" customHeight="1">
      <c r="A102" s="121"/>
      <c r="B102" s="214"/>
      <c r="C102" s="214"/>
      <c r="D102" s="214"/>
      <c r="E102" s="214"/>
      <c r="F102" s="214"/>
      <c r="G102" s="214"/>
      <c r="H102" s="214"/>
      <c r="I102" s="214"/>
      <c r="J102" s="214"/>
      <c r="K102" s="214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  <c r="AA102" s="121"/>
      <c r="AB102" s="121"/>
      <c r="AC102" s="121"/>
      <c r="AD102" s="121"/>
      <c r="AE102" s="121"/>
      <c r="AF102" s="121"/>
      <c r="AG102" s="121"/>
      <c r="AH102" s="121"/>
      <c r="AI102" s="121"/>
      <c r="AJ102" s="121"/>
      <c r="AK102" s="121"/>
      <c r="AL102" s="121"/>
      <c r="AM102" s="121"/>
      <c r="AN102" s="121"/>
    </row>
    <row r="103" ht="17.25" hidden="1" customHeight="1">
      <c r="A103" s="121"/>
      <c r="B103" s="214"/>
      <c r="C103" s="214"/>
      <c r="D103" s="214"/>
      <c r="E103" s="214"/>
      <c r="F103" s="214"/>
      <c r="G103" s="214"/>
      <c r="H103" s="214"/>
      <c r="I103" s="214"/>
      <c r="J103" s="214"/>
      <c r="K103" s="214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  <c r="AA103" s="121"/>
      <c r="AB103" s="121"/>
      <c r="AC103" s="121"/>
      <c r="AD103" s="121"/>
      <c r="AE103" s="121"/>
      <c r="AF103" s="121"/>
      <c r="AG103" s="121"/>
      <c r="AH103" s="121"/>
      <c r="AI103" s="121"/>
      <c r="AJ103" s="121"/>
      <c r="AK103" s="121"/>
      <c r="AL103" s="121"/>
      <c r="AM103" s="121"/>
      <c r="AN103" s="121"/>
    </row>
    <row r="104" ht="17.25" hidden="1" customHeight="1">
      <c r="A104" s="121"/>
      <c r="B104" s="214"/>
      <c r="C104" s="214"/>
      <c r="D104" s="214"/>
      <c r="E104" s="214"/>
      <c r="F104" s="214"/>
      <c r="G104" s="214"/>
      <c r="H104" s="214"/>
      <c r="I104" s="214"/>
      <c r="J104" s="214"/>
      <c r="K104" s="214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  <c r="AA104" s="121"/>
      <c r="AB104" s="121"/>
      <c r="AC104" s="121"/>
      <c r="AD104" s="121"/>
      <c r="AE104" s="121"/>
      <c r="AF104" s="121"/>
      <c r="AG104" s="121"/>
      <c r="AH104" s="121"/>
      <c r="AI104" s="121"/>
      <c r="AJ104" s="121"/>
      <c r="AK104" s="121"/>
      <c r="AL104" s="121"/>
      <c r="AM104" s="121"/>
      <c r="AN104" s="121"/>
    </row>
    <row r="105" ht="17.25" hidden="1" customHeight="1">
      <c r="A105" s="121"/>
      <c r="B105" s="214"/>
      <c r="C105" s="214"/>
      <c r="D105" s="214"/>
      <c r="E105" s="214"/>
      <c r="F105" s="214"/>
      <c r="G105" s="214"/>
      <c r="H105" s="214"/>
      <c r="I105" s="214"/>
      <c r="J105" s="214"/>
      <c r="K105" s="214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  <c r="AA105" s="121"/>
      <c r="AB105" s="121"/>
      <c r="AC105" s="121"/>
      <c r="AD105" s="121"/>
      <c r="AE105" s="121"/>
      <c r="AF105" s="121"/>
      <c r="AG105" s="121"/>
      <c r="AH105" s="121"/>
      <c r="AI105" s="121"/>
      <c r="AJ105" s="121"/>
      <c r="AK105" s="121"/>
      <c r="AL105" s="121"/>
      <c r="AM105" s="121"/>
      <c r="AN105" s="121"/>
    </row>
    <row r="106" ht="17.25" hidden="1" customHeight="1">
      <c r="A106" s="121"/>
      <c r="B106" s="214"/>
      <c r="C106" s="214"/>
      <c r="D106" s="214"/>
      <c r="E106" s="214"/>
      <c r="F106" s="214"/>
      <c r="G106" s="214"/>
      <c r="H106" s="214"/>
      <c r="I106" s="214"/>
      <c r="J106" s="214"/>
      <c r="K106" s="214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  <c r="AA106" s="121"/>
      <c r="AB106" s="121"/>
      <c r="AC106" s="121"/>
      <c r="AD106" s="121"/>
      <c r="AE106" s="121"/>
      <c r="AF106" s="121"/>
      <c r="AG106" s="121"/>
      <c r="AH106" s="121"/>
      <c r="AI106" s="121"/>
      <c r="AJ106" s="121"/>
      <c r="AK106" s="121"/>
      <c r="AL106" s="121"/>
      <c r="AM106" s="121"/>
      <c r="AN106" s="121"/>
    </row>
    <row r="107" ht="17.25" hidden="1" customHeight="1">
      <c r="A107" s="121"/>
      <c r="B107" s="214"/>
      <c r="C107" s="214"/>
      <c r="D107" s="214"/>
      <c r="E107" s="214"/>
      <c r="F107" s="214"/>
      <c r="G107" s="214"/>
      <c r="H107" s="214"/>
      <c r="I107" s="214"/>
      <c r="J107" s="214"/>
      <c r="K107" s="214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  <c r="AA107" s="121"/>
      <c r="AB107" s="121"/>
      <c r="AC107" s="121"/>
      <c r="AD107" s="121"/>
      <c r="AE107" s="121"/>
      <c r="AF107" s="121"/>
      <c r="AG107" s="121"/>
      <c r="AH107" s="121"/>
      <c r="AI107" s="121"/>
      <c r="AJ107" s="121"/>
      <c r="AK107" s="121"/>
      <c r="AL107" s="121"/>
      <c r="AM107" s="121"/>
      <c r="AN107" s="121"/>
    </row>
    <row r="108" ht="17.25" hidden="1" customHeight="1">
      <c r="A108" s="121"/>
      <c r="B108" s="214"/>
      <c r="C108" s="214"/>
      <c r="D108" s="214"/>
      <c r="E108" s="214"/>
      <c r="F108" s="214"/>
      <c r="G108" s="214"/>
      <c r="H108" s="214"/>
      <c r="I108" s="214"/>
      <c r="J108" s="214"/>
      <c r="K108" s="214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  <c r="AA108" s="121"/>
      <c r="AB108" s="121"/>
      <c r="AC108" s="121"/>
      <c r="AD108" s="121"/>
      <c r="AE108" s="121"/>
      <c r="AF108" s="121"/>
      <c r="AG108" s="121"/>
      <c r="AH108" s="121"/>
      <c r="AI108" s="121"/>
      <c r="AJ108" s="121"/>
      <c r="AK108" s="121"/>
      <c r="AL108" s="121"/>
      <c r="AM108" s="121"/>
      <c r="AN108" s="121"/>
    </row>
    <row r="109" ht="17.25" hidden="1" customHeight="1">
      <c r="A109" s="121"/>
      <c r="B109" s="214"/>
      <c r="C109" s="214"/>
      <c r="D109" s="214"/>
      <c r="E109" s="214"/>
      <c r="F109" s="214"/>
      <c r="G109" s="214"/>
      <c r="H109" s="214"/>
      <c r="I109" s="214"/>
      <c r="J109" s="214"/>
      <c r="K109" s="214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  <c r="AA109" s="121"/>
      <c r="AB109" s="121"/>
      <c r="AC109" s="121"/>
      <c r="AD109" s="121"/>
      <c r="AE109" s="121"/>
      <c r="AF109" s="121"/>
      <c r="AG109" s="121"/>
      <c r="AH109" s="121"/>
      <c r="AI109" s="121"/>
      <c r="AJ109" s="121"/>
      <c r="AK109" s="121"/>
      <c r="AL109" s="121"/>
      <c r="AM109" s="121"/>
      <c r="AN109" s="121"/>
    </row>
    <row r="110" ht="17.25" hidden="1" customHeight="1">
      <c r="A110" s="121"/>
      <c r="B110" s="213">
        <f>COUNTIF($AD$43:$AD$47, true)</f>
        <v>0</v>
      </c>
      <c r="C110" s="214" t="str">
        <f t="array" ref="C110:H114">$X$43:$AC$47</f>
        <v/>
      </c>
      <c r="D110" s="214"/>
      <c r="E110" s="214"/>
      <c r="F110" s="214"/>
      <c r="G110" s="214"/>
      <c r="H110" s="214"/>
      <c r="I110" s="214"/>
      <c r="J110" s="214"/>
      <c r="K110" s="214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121"/>
      <c r="AK110" s="121"/>
      <c r="AL110" s="121"/>
      <c r="AM110" s="121"/>
      <c r="AN110" s="121"/>
    </row>
    <row r="111" ht="17.25" hidden="1" customHeight="1">
      <c r="A111" s="121"/>
      <c r="B111" s="214"/>
      <c r="C111" s="214"/>
      <c r="D111" s="214"/>
      <c r="E111" s="214"/>
      <c r="F111" s="214"/>
      <c r="G111" s="214"/>
      <c r="H111" s="214"/>
      <c r="I111" s="214"/>
      <c r="J111" s="214"/>
      <c r="K111" s="214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  <c r="AA111" s="121"/>
      <c r="AB111" s="121"/>
      <c r="AC111" s="121"/>
      <c r="AD111" s="121"/>
      <c r="AE111" s="121"/>
      <c r="AF111" s="121"/>
      <c r="AG111" s="121"/>
      <c r="AH111" s="121"/>
      <c r="AI111" s="121"/>
      <c r="AJ111" s="121"/>
      <c r="AK111" s="121"/>
      <c r="AL111" s="121"/>
      <c r="AM111" s="121"/>
      <c r="AN111" s="121"/>
    </row>
    <row r="112" ht="17.25" hidden="1" customHeight="1">
      <c r="A112" s="121"/>
      <c r="B112" s="214"/>
      <c r="C112" s="214"/>
      <c r="D112" s="214"/>
      <c r="E112" s="214"/>
      <c r="F112" s="214"/>
      <c r="G112" s="214"/>
      <c r="H112" s="214"/>
      <c r="I112" s="214"/>
      <c r="J112" s="214"/>
      <c r="K112" s="214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  <c r="AA112" s="121"/>
      <c r="AB112" s="121"/>
      <c r="AC112" s="121"/>
      <c r="AD112" s="121"/>
      <c r="AE112" s="121"/>
      <c r="AF112" s="121"/>
      <c r="AG112" s="121"/>
      <c r="AH112" s="121"/>
      <c r="AI112" s="121"/>
      <c r="AJ112" s="121"/>
      <c r="AK112" s="121"/>
      <c r="AL112" s="121"/>
      <c r="AM112" s="121"/>
      <c r="AN112" s="121"/>
    </row>
    <row r="113" ht="17.25" hidden="1" customHeight="1">
      <c r="A113" s="121"/>
      <c r="B113" s="214"/>
      <c r="C113" s="214"/>
      <c r="D113" s="214"/>
      <c r="E113" s="214"/>
      <c r="F113" s="214"/>
      <c r="G113" s="214"/>
      <c r="H113" s="214"/>
      <c r="I113" s="214"/>
      <c r="J113" s="214"/>
      <c r="K113" s="214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  <c r="AA113" s="121"/>
      <c r="AB113" s="121"/>
      <c r="AC113" s="121"/>
      <c r="AD113" s="121"/>
      <c r="AE113" s="121"/>
      <c r="AF113" s="121"/>
      <c r="AG113" s="121"/>
      <c r="AH113" s="121"/>
      <c r="AI113" s="121"/>
      <c r="AJ113" s="121"/>
      <c r="AK113" s="121"/>
      <c r="AL113" s="121"/>
      <c r="AM113" s="121"/>
      <c r="AN113" s="121"/>
    </row>
    <row r="114" ht="17.25" hidden="1" customHeight="1">
      <c r="A114" s="121"/>
      <c r="B114" s="214"/>
      <c r="C114" s="214"/>
      <c r="D114" s="214"/>
      <c r="E114" s="214"/>
      <c r="F114" s="214"/>
      <c r="G114" s="214"/>
      <c r="H114" s="214"/>
      <c r="I114" s="214"/>
      <c r="J114" s="214"/>
      <c r="K114" s="214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  <c r="AA114" s="121"/>
      <c r="AB114" s="121"/>
      <c r="AC114" s="121"/>
      <c r="AD114" s="121"/>
      <c r="AE114" s="121"/>
      <c r="AF114" s="121"/>
      <c r="AG114" s="121"/>
      <c r="AH114" s="121"/>
      <c r="AI114" s="121"/>
      <c r="AJ114" s="121"/>
      <c r="AK114" s="121"/>
      <c r="AL114" s="121"/>
      <c r="AM114" s="121"/>
      <c r="AN114" s="121"/>
    </row>
    <row r="115" ht="17.25" hidden="1" customHeight="1">
      <c r="A115" s="121"/>
      <c r="B115" s="214"/>
      <c r="C115" s="214"/>
      <c r="D115" s="214"/>
      <c r="E115" s="214"/>
      <c r="F115" s="214"/>
      <c r="G115" s="214"/>
      <c r="H115" s="214"/>
      <c r="I115" s="214"/>
      <c r="J115" s="214"/>
      <c r="K115" s="214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  <c r="AA115" s="121"/>
      <c r="AB115" s="121"/>
      <c r="AC115" s="121"/>
      <c r="AD115" s="121"/>
      <c r="AE115" s="121"/>
      <c r="AF115" s="121"/>
      <c r="AG115" s="121"/>
      <c r="AH115" s="121"/>
      <c r="AI115" s="121"/>
      <c r="AJ115" s="121"/>
      <c r="AK115" s="121"/>
      <c r="AL115" s="121"/>
      <c r="AM115" s="121"/>
      <c r="AN115" s="121"/>
    </row>
    <row r="116" ht="17.25" hidden="1" customHeight="1">
      <c r="A116" s="121"/>
      <c r="B116" s="214"/>
      <c r="C116" s="214"/>
      <c r="D116" s="214"/>
      <c r="E116" s="214"/>
      <c r="F116" s="214"/>
      <c r="G116" s="214"/>
      <c r="H116" s="214"/>
      <c r="I116" s="214"/>
      <c r="J116" s="214"/>
      <c r="K116" s="214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  <c r="AA116" s="121"/>
      <c r="AB116" s="121"/>
      <c r="AC116" s="121"/>
      <c r="AD116" s="121"/>
      <c r="AE116" s="121"/>
      <c r="AF116" s="121"/>
      <c r="AG116" s="121"/>
      <c r="AH116" s="121"/>
      <c r="AI116" s="121"/>
      <c r="AJ116" s="121"/>
      <c r="AK116" s="121"/>
      <c r="AL116" s="121"/>
      <c r="AM116" s="121"/>
      <c r="AN116" s="121"/>
    </row>
    <row r="117" ht="17.25" hidden="1" customHeight="1">
      <c r="A117" s="121"/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121"/>
      <c r="AF117" s="121"/>
      <c r="AG117" s="121"/>
      <c r="AH117" s="121"/>
      <c r="AI117" s="121"/>
      <c r="AJ117" s="121"/>
      <c r="AK117" s="121"/>
      <c r="AL117" s="121"/>
      <c r="AM117" s="121"/>
      <c r="AN117" s="121"/>
    </row>
    <row r="118" ht="17.25" hidden="1" customHeight="1">
      <c r="A118" s="121"/>
      <c r="B118" s="214"/>
      <c r="C118" s="214"/>
      <c r="D118" s="214"/>
      <c r="E118" s="214"/>
      <c r="F118" s="214"/>
      <c r="G118" s="214"/>
      <c r="H118" s="214"/>
      <c r="I118" s="214"/>
      <c r="J118" s="214"/>
      <c r="K118" s="214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  <c r="AA118" s="121"/>
      <c r="AB118" s="121"/>
      <c r="AC118" s="121"/>
      <c r="AD118" s="121"/>
      <c r="AE118" s="121"/>
      <c r="AF118" s="121"/>
      <c r="AG118" s="121"/>
      <c r="AH118" s="121"/>
      <c r="AI118" s="121"/>
      <c r="AJ118" s="121"/>
      <c r="AK118" s="121"/>
      <c r="AL118" s="121"/>
      <c r="AM118" s="121"/>
      <c r="AN118" s="121"/>
    </row>
    <row r="119" ht="17.25" hidden="1" customHeight="1">
      <c r="A119" s="121"/>
      <c r="B119" s="214"/>
      <c r="C119" s="214"/>
      <c r="D119" s="214"/>
      <c r="E119" s="214"/>
      <c r="F119" s="214"/>
      <c r="G119" s="214"/>
      <c r="H119" s="214"/>
      <c r="I119" s="214"/>
      <c r="J119" s="214"/>
      <c r="K119" s="214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  <c r="AA119" s="121"/>
      <c r="AB119" s="121"/>
      <c r="AC119" s="121"/>
      <c r="AD119" s="121"/>
      <c r="AE119" s="121"/>
      <c r="AF119" s="121"/>
      <c r="AG119" s="121"/>
      <c r="AH119" s="121"/>
      <c r="AI119" s="121"/>
      <c r="AJ119" s="121"/>
      <c r="AK119" s="121"/>
      <c r="AL119" s="121"/>
      <c r="AM119" s="121"/>
      <c r="AN119" s="121"/>
    </row>
    <row r="120" ht="17.25" hidden="1" customHeight="1">
      <c r="A120" s="121"/>
      <c r="B120" s="214"/>
      <c r="C120" s="214"/>
      <c r="D120" s="214"/>
      <c r="E120" s="214"/>
      <c r="F120" s="214"/>
      <c r="G120" s="214"/>
      <c r="H120" s="214"/>
      <c r="I120" s="214"/>
      <c r="J120" s="214"/>
      <c r="K120" s="214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</row>
    <row r="121" ht="17.25" hidden="1" customHeight="1">
      <c r="A121" s="121"/>
      <c r="B121" s="214"/>
      <c r="C121" s="214"/>
      <c r="D121" s="214"/>
      <c r="E121" s="214"/>
      <c r="F121" s="214"/>
      <c r="G121" s="214"/>
      <c r="H121" s="214"/>
      <c r="I121" s="214"/>
      <c r="J121" s="214"/>
      <c r="K121" s="214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</row>
    <row r="122" ht="17.25" hidden="1" customHeight="1">
      <c r="A122" s="121"/>
      <c r="B122" s="214"/>
      <c r="C122" s="214"/>
      <c r="D122" s="214"/>
      <c r="E122" s="214"/>
      <c r="F122" s="214"/>
      <c r="G122" s="214"/>
      <c r="H122" s="214"/>
      <c r="I122" s="214"/>
      <c r="J122" s="214"/>
      <c r="K122" s="214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  <c r="AA122" s="121"/>
      <c r="AB122" s="121"/>
      <c r="AC122" s="121"/>
      <c r="AD122" s="121"/>
      <c r="AE122" s="121"/>
      <c r="AF122" s="121"/>
      <c r="AG122" s="121"/>
      <c r="AH122" s="121"/>
      <c r="AI122" s="121"/>
      <c r="AJ122" s="121"/>
      <c r="AK122" s="121"/>
      <c r="AL122" s="121"/>
      <c r="AM122" s="121"/>
      <c r="AN122" s="121"/>
    </row>
    <row r="123" ht="17.25" hidden="1" customHeight="1">
      <c r="A123" s="121"/>
      <c r="B123" s="214"/>
      <c r="C123" s="214"/>
      <c r="D123" s="214"/>
      <c r="E123" s="214"/>
      <c r="F123" s="214"/>
      <c r="G123" s="214"/>
      <c r="H123" s="214"/>
      <c r="I123" s="214"/>
      <c r="J123" s="214"/>
      <c r="K123" s="214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1"/>
      <c r="AL123" s="121"/>
      <c r="AM123" s="121"/>
      <c r="AN123" s="121"/>
    </row>
    <row r="124" ht="17.25" hidden="1" customHeight="1">
      <c r="A124" s="121"/>
      <c r="B124" s="214"/>
      <c r="C124" s="214"/>
      <c r="D124" s="214"/>
      <c r="E124" s="214"/>
      <c r="F124" s="214"/>
      <c r="G124" s="214"/>
      <c r="H124" s="214"/>
      <c r="I124" s="214"/>
      <c r="J124" s="214"/>
      <c r="K124" s="214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</row>
    <row r="125" ht="17.25" hidden="1" customHeight="1">
      <c r="A125" s="121"/>
      <c r="B125" s="214"/>
      <c r="C125" s="214"/>
      <c r="D125" s="214"/>
      <c r="E125" s="214"/>
      <c r="F125" s="214"/>
      <c r="G125" s="214"/>
      <c r="H125" s="214"/>
      <c r="I125" s="214"/>
      <c r="J125" s="214"/>
      <c r="K125" s="214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</row>
    <row r="126" ht="17.25" hidden="1" customHeight="1">
      <c r="A126" s="121"/>
      <c r="B126" s="213">
        <f>COUNTIF($P$55:$P$59, true)</f>
        <v>0</v>
      </c>
      <c r="C126" s="214" t="str">
        <f t="array" ref="C126:O130">$C$55:$O$59</f>
        <v/>
      </c>
      <c r="D126" s="214"/>
      <c r="E126" s="214"/>
      <c r="F126" s="214"/>
      <c r="G126" s="214"/>
      <c r="H126" s="214"/>
      <c r="I126" s="214"/>
      <c r="J126" s="214"/>
      <c r="K126" s="214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</row>
    <row r="127" ht="17.25" hidden="1" customHeight="1">
      <c r="A127" s="121"/>
      <c r="B127" s="214"/>
      <c r="C127" s="214"/>
      <c r="D127" s="214"/>
      <c r="E127" s="214"/>
      <c r="F127" s="214"/>
      <c r="G127" s="214"/>
      <c r="H127" s="214"/>
      <c r="I127" s="214"/>
      <c r="J127" s="214"/>
      <c r="K127" s="214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</row>
    <row r="128" ht="17.25" hidden="1" customHeight="1">
      <c r="A128" s="121"/>
      <c r="B128" s="214"/>
      <c r="C128" s="214"/>
      <c r="D128" s="214"/>
      <c r="E128" s="214"/>
      <c r="F128" s="214"/>
      <c r="G128" s="214"/>
      <c r="H128" s="214"/>
      <c r="I128" s="214"/>
      <c r="J128" s="214"/>
      <c r="K128" s="214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</row>
    <row r="129" ht="17.25" hidden="1" customHeight="1">
      <c r="A129" s="121"/>
      <c r="B129" s="214"/>
      <c r="C129" s="214"/>
      <c r="D129" s="214"/>
      <c r="E129" s="214"/>
      <c r="F129" s="214"/>
      <c r="G129" s="214"/>
      <c r="H129" s="214"/>
      <c r="I129" s="214"/>
      <c r="J129" s="214"/>
      <c r="K129" s="214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</row>
    <row r="130" ht="17.25" hidden="1" customHeight="1">
      <c r="A130" s="121"/>
      <c r="B130" s="214"/>
      <c r="C130" s="214"/>
      <c r="D130" s="214"/>
      <c r="E130" s="214"/>
      <c r="F130" s="214"/>
      <c r="G130" s="214"/>
      <c r="H130" s="214"/>
      <c r="I130" s="214"/>
      <c r="J130" s="214"/>
      <c r="K130" s="214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</row>
    <row r="131" ht="17.25" hidden="1" customHeight="1">
      <c r="A131" s="121"/>
      <c r="B131" s="214"/>
      <c r="C131" s="214"/>
      <c r="D131" s="214"/>
      <c r="E131" s="214"/>
      <c r="F131" s="214"/>
      <c r="G131" s="214"/>
      <c r="H131" s="214"/>
      <c r="I131" s="214"/>
      <c r="J131" s="214"/>
      <c r="K131" s="214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</row>
    <row r="132" ht="17.25" hidden="1" customHeight="1">
      <c r="A132" s="121"/>
      <c r="B132" s="214"/>
      <c r="C132" s="214"/>
      <c r="D132" s="214"/>
      <c r="E132" s="214"/>
      <c r="F132" s="214"/>
      <c r="G132" s="214"/>
      <c r="H132" s="214"/>
      <c r="I132" s="214"/>
      <c r="J132" s="214"/>
      <c r="K132" s="214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</row>
    <row r="133" ht="17.25" hidden="1" customHeight="1">
      <c r="A133" s="121"/>
      <c r="B133" s="214"/>
      <c r="C133" s="214"/>
      <c r="D133" s="214"/>
      <c r="E133" s="214"/>
      <c r="F133" s="214"/>
      <c r="G133" s="214"/>
      <c r="H133" s="214"/>
      <c r="I133" s="214"/>
      <c r="J133" s="214"/>
      <c r="K133" s="214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</row>
    <row r="134" ht="17.25" hidden="1" customHeight="1">
      <c r="A134" s="121"/>
      <c r="B134" s="214"/>
      <c r="C134" s="214"/>
      <c r="D134" s="214"/>
      <c r="E134" s="214"/>
      <c r="F134" s="214"/>
      <c r="G134" s="214"/>
      <c r="H134" s="214"/>
      <c r="I134" s="214"/>
      <c r="J134" s="214"/>
      <c r="K134" s="214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  <c r="AA134" s="121"/>
      <c r="AB134" s="121"/>
      <c r="AC134" s="121"/>
      <c r="AD134" s="121"/>
      <c r="AE134" s="121"/>
      <c r="AF134" s="121"/>
      <c r="AG134" s="121"/>
      <c r="AH134" s="121"/>
      <c r="AI134" s="121"/>
      <c r="AJ134" s="121"/>
      <c r="AK134" s="121"/>
      <c r="AL134" s="121"/>
      <c r="AM134" s="121"/>
      <c r="AN134" s="121"/>
    </row>
    <row r="135" ht="17.25" hidden="1" customHeight="1">
      <c r="A135" s="121"/>
      <c r="B135" s="214"/>
      <c r="C135" s="214"/>
      <c r="D135" s="214"/>
      <c r="E135" s="214"/>
      <c r="F135" s="214"/>
      <c r="G135" s="214"/>
      <c r="H135" s="214"/>
      <c r="I135" s="214"/>
      <c r="J135" s="214"/>
      <c r="K135" s="214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  <c r="AA135" s="121"/>
      <c r="AB135" s="121"/>
      <c r="AC135" s="121"/>
      <c r="AD135" s="121"/>
      <c r="AE135" s="121"/>
      <c r="AF135" s="121"/>
      <c r="AG135" s="121"/>
      <c r="AH135" s="121"/>
      <c r="AI135" s="121"/>
      <c r="AJ135" s="121"/>
      <c r="AK135" s="121"/>
      <c r="AL135" s="121"/>
      <c r="AM135" s="121"/>
      <c r="AN135" s="121"/>
    </row>
    <row r="136" ht="17.25" hidden="1" customHeight="1">
      <c r="A136" s="121"/>
      <c r="B136" s="214"/>
      <c r="C136" s="214"/>
      <c r="D136" s="214"/>
      <c r="E136" s="214"/>
      <c r="F136" s="214"/>
      <c r="G136" s="214"/>
      <c r="H136" s="214"/>
      <c r="I136" s="214"/>
      <c r="J136" s="214"/>
      <c r="K136" s="214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  <c r="AA136" s="121"/>
      <c r="AB136" s="121"/>
      <c r="AC136" s="121"/>
      <c r="AD136" s="121"/>
      <c r="AE136" s="121"/>
      <c r="AF136" s="121"/>
      <c r="AG136" s="121"/>
      <c r="AH136" s="121"/>
      <c r="AI136" s="121"/>
      <c r="AJ136" s="121"/>
      <c r="AK136" s="121"/>
      <c r="AL136" s="121"/>
      <c r="AM136" s="121"/>
      <c r="AN136" s="121"/>
    </row>
    <row r="137" ht="17.25" hidden="1" customHeight="1">
      <c r="A137" s="121"/>
      <c r="B137" s="214"/>
      <c r="C137" s="214"/>
      <c r="D137" s="214"/>
      <c r="E137" s="214"/>
      <c r="F137" s="214"/>
      <c r="G137" s="214"/>
      <c r="H137" s="214"/>
      <c r="I137" s="214"/>
      <c r="J137" s="214"/>
      <c r="K137" s="214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  <c r="AA137" s="121"/>
      <c r="AB137" s="121"/>
      <c r="AC137" s="121"/>
      <c r="AD137" s="121"/>
      <c r="AE137" s="121"/>
      <c r="AF137" s="121"/>
      <c r="AG137" s="121"/>
      <c r="AH137" s="121"/>
      <c r="AI137" s="121"/>
      <c r="AJ137" s="121"/>
      <c r="AK137" s="121"/>
      <c r="AL137" s="121"/>
      <c r="AM137" s="121"/>
      <c r="AN137" s="121"/>
    </row>
    <row r="138" ht="17.25" hidden="1" customHeight="1">
      <c r="A138" s="121"/>
      <c r="B138" s="214"/>
      <c r="C138" s="214"/>
      <c r="D138" s="214"/>
      <c r="E138" s="214"/>
      <c r="F138" s="214"/>
      <c r="G138" s="214"/>
      <c r="H138" s="214"/>
      <c r="I138" s="214"/>
      <c r="J138" s="214"/>
      <c r="K138" s="214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21"/>
      <c r="AH138" s="121"/>
      <c r="AI138" s="121"/>
      <c r="AJ138" s="121"/>
      <c r="AK138" s="121"/>
      <c r="AL138" s="121"/>
      <c r="AM138" s="121"/>
      <c r="AN138" s="121"/>
    </row>
    <row r="139" ht="17.25" hidden="1" customHeight="1">
      <c r="A139" s="121"/>
      <c r="B139" s="214"/>
      <c r="C139" s="214"/>
      <c r="D139" s="214"/>
      <c r="E139" s="214"/>
      <c r="F139" s="214"/>
      <c r="G139" s="214"/>
      <c r="H139" s="214"/>
      <c r="I139" s="214"/>
      <c r="J139" s="214"/>
      <c r="K139" s="214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  <c r="AA139" s="121"/>
      <c r="AB139" s="121"/>
      <c r="AC139" s="121"/>
      <c r="AD139" s="121"/>
      <c r="AE139" s="121"/>
      <c r="AF139" s="121"/>
      <c r="AG139" s="121"/>
      <c r="AH139" s="121"/>
      <c r="AI139" s="121"/>
      <c r="AJ139" s="121"/>
      <c r="AK139" s="121"/>
      <c r="AL139" s="121"/>
      <c r="AM139" s="121"/>
      <c r="AN139" s="121"/>
    </row>
    <row r="140" ht="17.25" hidden="1" customHeight="1">
      <c r="A140" s="121"/>
      <c r="B140" s="214"/>
      <c r="C140" s="214"/>
      <c r="D140" s="214"/>
      <c r="E140" s="214"/>
      <c r="F140" s="214"/>
      <c r="G140" s="214"/>
      <c r="H140" s="214"/>
      <c r="I140" s="214"/>
      <c r="J140" s="214"/>
      <c r="K140" s="214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  <c r="AA140" s="121"/>
      <c r="AB140" s="121"/>
      <c r="AC140" s="121"/>
      <c r="AD140" s="121"/>
      <c r="AE140" s="121"/>
      <c r="AF140" s="121"/>
      <c r="AG140" s="121"/>
      <c r="AH140" s="121"/>
      <c r="AI140" s="121"/>
      <c r="AJ140" s="121"/>
      <c r="AK140" s="121"/>
      <c r="AL140" s="121"/>
      <c r="AM140" s="121"/>
      <c r="AN140" s="121"/>
    </row>
  </sheetData>
  <mergeCells count="86">
    <mergeCell ref="AI38:AM38"/>
    <mergeCell ref="AI39:AM39"/>
    <mergeCell ref="B42:B43"/>
    <mergeCell ref="C42:H42"/>
    <mergeCell ref="Q42:V42"/>
    <mergeCell ref="C43:H43"/>
    <mergeCell ref="Q43:V43"/>
    <mergeCell ref="J42:O42"/>
    <mergeCell ref="J43:O43"/>
    <mergeCell ref="C44:H44"/>
    <mergeCell ref="J44:O44"/>
    <mergeCell ref="Q44:V44"/>
    <mergeCell ref="J45:O45"/>
    <mergeCell ref="Q45:V45"/>
    <mergeCell ref="C47:H47"/>
    <mergeCell ref="C49:I49"/>
    <mergeCell ref="B49:B51"/>
    <mergeCell ref="C51:I51"/>
    <mergeCell ref="C52:H52"/>
    <mergeCell ref="B54:B55"/>
    <mergeCell ref="C45:H45"/>
    <mergeCell ref="C46:H46"/>
    <mergeCell ref="J46:O46"/>
    <mergeCell ref="Q46:V46"/>
    <mergeCell ref="J47:O47"/>
    <mergeCell ref="Q47:V47"/>
    <mergeCell ref="Q50:W50"/>
    <mergeCell ref="C55:O55"/>
    <mergeCell ref="C56:O56"/>
    <mergeCell ref="C57:O57"/>
    <mergeCell ref="C58:O58"/>
    <mergeCell ref="C59:O59"/>
    <mergeCell ref="C50:I50"/>
    <mergeCell ref="J50:P50"/>
    <mergeCell ref="J51:P51"/>
    <mergeCell ref="Q51:W51"/>
    <mergeCell ref="J52:O52"/>
    <mergeCell ref="Q52:V52"/>
    <mergeCell ref="C54:P54"/>
    <mergeCell ref="O3:T3"/>
    <mergeCell ref="O4:T4"/>
    <mergeCell ref="B7:B8"/>
    <mergeCell ref="C7:I7"/>
    <mergeCell ref="J7:P7"/>
    <mergeCell ref="Q7:W7"/>
    <mergeCell ref="B2:H2"/>
    <mergeCell ref="AG2:AM5"/>
    <mergeCell ref="B3:H4"/>
    <mergeCell ref="I3:M3"/>
    <mergeCell ref="V3:Z3"/>
    <mergeCell ref="I4:M4"/>
    <mergeCell ref="V4:Z4"/>
    <mergeCell ref="B5:H5"/>
    <mergeCell ref="AB3:AF3"/>
    <mergeCell ref="AB4:AF4"/>
    <mergeCell ref="X7:AD7"/>
    <mergeCell ref="AE7:AG7"/>
    <mergeCell ref="AI7:AJ8"/>
    <mergeCell ref="AK7:AM8"/>
    <mergeCell ref="AK10:AM10"/>
    <mergeCell ref="AK11:AM11"/>
    <mergeCell ref="AK12:AM12"/>
    <mergeCell ref="AK13:AM13"/>
    <mergeCell ref="AK14:AM14"/>
    <mergeCell ref="AK15:AM15"/>
    <mergeCell ref="AK16:AM16"/>
    <mergeCell ref="AK17:AM17"/>
    <mergeCell ref="AK18:AM18"/>
    <mergeCell ref="AK19:AM19"/>
    <mergeCell ref="AK20:AM20"/>
    <mergeCell ref="AK21:AM21"/>
    <mergeCell ref="B36:AG36"/>
    <mergeCell ref="AI36:AM36"/>
    <mergeCell ref="AI37:AM37"/>
    <mergeCell ref="X42:AC42"/>
    <mergeCell ref="X43:AC43"/>
    <mergeCell ref="X44:AC44"/>
    <mergeCell ref="X45:AC45"/>
    <mergeCell ref="X46:AC46"/>
    <mergeCell ref="X47:AC47"/>
    <mergeCell ref="J49:P49"/>
    <mergeCell ref="Q49:W49"/>
    <mergeCell ref="X49:AD49"/>
    <mergeCell ref="X50:AD50"/>
    <mergeCell ref="X51:AD51"/>
    <mergeCell ref="X52:AC52"/>
  </mergeCells>
  <conditionalFormatting sqref="C23:AG23">
    <cfRule type="cellIs" dxfId="0" priority="1" operator="greaterThanOrEqual">
      <formula>"75%"</formula>
    </cfRule>
  </conditionalFormatting>
  <dataValidations>
    <dataValidation type="list" allowBlank="1" showErrorMessage="1" sqref="C37:AG39">
      <formula1>"10,9,8,7,6,5,4,3,2,1"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2" width="25.88"/>
    <col customWidth="1" min="3" max="19" width="4.25"/>
    <col customWidth="1" min="20" max="20" width="6.88"/>
    <col customWidth="1" min="21" max="33" width="4.25"/>
    <col customWidth="1" min="34" max="40" width="4.75"/>
  </cols>
  <sheetData>
    <row r="1" ht="17.25" customHeight="1">
      <c r="A1" s="120"/>
      <c r="B1" s="121"/>
      <c r="C1" s="122"/>
      <c r="D1" s="120"/>
      <c r="E1" s="121"/>
      <c r="F1" s="121"/>
      <c r="G1" s="121"/>
      <c r="H1" s="121"/>
      <c r="I1" s="121"/>
      <c r="J1" s="121"/>
      <c r="K1" s="121"/>
      <c r="L1" s="121"/>
      <c r="M1" s="123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</row>
    <row r="2" ht="17.25" customHeight="1">
      <c r="A2" s="120"/>
      <c r="B2" s="124"/>
      <c r="C2" s="21"/>
      <c r="D2" s="21"/>
      <c r="E2" s="21"/>
      <c r="F2" s="21"/>
      <c r="G2" s="21"/>
      <c r="H2" s="21"/>
      <c r="I2" s="125"/>
      <c r="J2" s="125"/>
      <c r="K2" s="125"/>
      <c r="L2" s="125"/>
      <c r="M2" s="126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21"/>
      <c r="AI2" s="21"/>
      <c r="AJ2" s="21"/>
      <c r="AK2" s="21"/>
      <c r="AL2" s="21"/>
      <c r="AM2" s="42"/>
      <c r="AN2" s="121"/>
    </row>
    <row r="3" ht="17.25" customHeight="1">
      <c r="A3" s="120"/>
      <c r="B3" s="33" t="s">
        <v>37</v>
      </c>
      <c r="I3" s="29" t="s">
        <v>39</v>
      </c>
      <c r="N3" s="127"/>
      <c r="O3" s="29" t="s">
        <v>41</v>
      </c>
      <c r="U3" s="127"/>
      <c r="V3" s="29" t="s">
        <v>42</v>
      </c>
      <c r="AA3" s="127"/>
      <c r="AB3" s="29" t="s">
        <v>26</v>
      </c>
      <c r="AM3" s="105"/>
      <c r="AN3" s="121"/>
    </row>
    <row r="4" ht="17.25" customHeight="1">
      <c r="A4" s="120"/>
      <c r="B4" s="85"/>
      <c r="I4" s="128">
        <f>SUM(countA($B$10:$B$21),$I$62)</f>
        <v>0</v>
      </c>
      <c r="N4" s="129"/>
      <c r="O4" s="130">
        <f>SUM(COUNTIF($C$10:$AG$21, true),$J$62)</f>
        <v>0</v>
      </c>
      <c r="U4" s="129"/>
      <c r="V4" s="131" t="str">
        <f>IFERROR(__xludf.DUMMYFUNCTION("iferror(SPARKLINE($AB$4:$AF$4,{""charttype"",""bar"";""max"",1;""color1"",""#c9e4b2""}))"),"")</f>
        <v/>
      </c>
      <c r="AA4" s="129"/>
      <c r="AB4" s="132">
        <f>$O$4/SUM(COUNTA($C$10:$AG$21),$K$62)</f>
        <v>0</v>
      </c>
      <c r="AM4" s="105"/>
      <c r="AN4" s="121"/>
    </row>
    <row r="5" ht="17.25" customHeight="1">
      <c r="A5" s="120"/>
      <c r="B5" s="133"/>
      <c r="C5" s="37"/>
      <c r="D5" s="37"/>
      <c r="E5" s="37"/>
      <c r="F5" s="37"/>
      <c r="G5" s="37"/>
      <c r="H5" s="37"/>
      <c r="I5" s="134"/>
      <c r="J5" s="134"/>
      <c r="K5" s="134"/>
      <c r="L5" s="134"/>
      <c r="M5" s="135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4"/>
      <c r="AG5" s="37"/>
      <c r="AH5" s="37"/>
      <c r="AI5" s="37"/>
      <c r="AJ5" s="37"/>
      <c r="AK5" s="37"/>
      <c r="AL5" s="37"/>
      <c r="AM5" s="44"/>
      <c r="AN5" s="121"/>
    </row>
    <row r="6" ht="17.25" customHeight="1">
      <c r="A6" s="120"/>
      <c r="B6" s="121"/>
      <c r="C6" s="122"/>
      <c r="D6" s="120"/>
      <c r="E6" s="121"/>
      <c r="F6" s="121"/>
      <c r="G6" s="121"/>
      <c r="H6" s="121"/>
      <c r="I6" s="121"/>
      <c r="J6" s="121"/>
      <c r="K6" s="121"/>
      <c r="L6" s="121"/>
      <c r="M6" s="123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</row>
    <row r="7" ht="17.25" customHeight="1">
      <c r="A7" s="120"/>
      <c r="B7" s="136" t="s">
        <v>43</v>
      </c>
      <c r="C7" s="190" t="s">
        <v>44</v>
      </c>
      <c r="D7" s="46"/>
      <c r="E7" s="46"/>
      <c r="F7" s="46"/>
      <c r="G7" s="46"/>
      <c r="H7" s="46"/>
      <c r="I7" s="47"/>
      <c r="J7" s="216" t="s">
        <v>45</v>
      </c>
      <c r="K7" s="46"/>
      <c r="L7" s="46"/>
      <c r="M7" s="46"/>
      <c r="N7" s="46"/>
      <c r="O7" s="46"/>
      <c r="P7" s="47"/>
      <c r="Q7" s="217" t="s">
        <v>46</v>
      </c>
      <c r="R7" s="46"/>
      <c r="S7" s="46"/>
      <c r="T7" s="46"/>
      <c r="U7" s="46"/>
      <c r="V7" s="46"/>
      <c r="W7" s="47"/>
      <c r="X7" s="218" t="s">
        <v>47</v>
      </c>
      <c r="Y7" s="46"/>
      <c r="Z7" s="46"/>
      <c r="AA7" s="46"/>
      <c r="AB7" s="46"/>
      <c r="AC7" s="46"/>
      <c r="AD7" s="47"/>
      <c r="AE7" s="141"/>
      <c r="AF7" s="46"/>
      <c r="AG7" s="47"/>
      <c r="AH7" s="121"/>
      <c r="AI7" s="62" t="s">
        <v>48</v>
      </c>
      <c r="AJ7" s="42"/>
      <c r="AK7" s="62" t="s">
        <v>49</v>
      </c>
      <c r="AL7" s="21"/>
      <c r="AM7" s="42"/>
      <c r="AN7" s="121"/>
    </row>
    <row r="8" ht="17.25" customHeight="1">
      <c r="A8" s="121"/>
      <c r="B8" s="86"/>
      <c r="C8" s="143">
        <f>weekday(date(Dashboard!$Q$3,$AG$45,C9),1)</f>
        <v>7</v>
      </c>
      <c r="D8" s="143">
        <f>weekday(date(Dashboard!$Q$3,$AG$45,D9),1)</f>
        <v>1</v>
      </c>
      <c r="E8" s="143">
        <f>weekday(date(Dashboard!$Q$3,$AG$45,E9),1)</f>
        <v>2</v>
      </c>
      <c r="F8" s="143">
        <f>weekday(date(Dashboard!$Q$3,$AG$45,F9),1)</f>
        <v>3</v>
      </c>
      <c r="G8" s="143">
        <f>weekday(date(Dashboard!$Q$3,$AG$45,G9),1)</f>
        <v>4</v>
      </c>
      <c r="H8" s="143">
        <f>weekday(date(Dashboard!$Q$3,$AG$45,H9),1)</f>
        <v>5</v>
      </c>
      <c r="I8" s="143">
        <f>weekday(date(Dashboard!$Q$3,$AG$45,I9),1)</f>
        <v>6</v>
      </c>
      <c r="J8" s="144">
        <f>weekday(date(Dashboard!$Q$3,$AG$45,J9),1)</f>
        <v>7</v>
      </c>
      <c r="K8" s="144">
        <f>weekday(date(Dashboard!$Q$3,$AG$45,K9),1)</f>
        <v>1</v>
      </c>
      <c r="L8" s="144">
        <f>weekday(date(Dashboard!$Q$3,$AG$45,L9),1)</f>
        <v>2</v>
      </c>
      <c r="M8" s="144">
        <f>weekday(date(Dashboard!$Q$3,$AG$45,M9),1)</f>
        <v>3</v>
      </c>
      <c r="N8" s="144">
        <f>weekday(date(Dashboard!$Q$3,$AG$45,N9),1)</f>
        <v>4</v>
      </c>
      <c r="O8" s="144">
        <f>weekday(date(Dashboard!$Q$3,$AG$45,O9),1)</f>
        <v>5</v>
      </c>
      <c r="P8" s="144">
        <f>weekday(date(Dashboard!$Q$3,$AG$45,P9),1)</f>
        <v>6</v>
      </c>
      <c r="Q8" s="145">
        <f>weekday(date(Dashboard!$Q$3,$AG$45,Q9),1)</f>
        <v>7</v>
      </c>
      <c r="R8" s="145">
        <f>weekday(date(Dashboard!$Q$3,$AG$45,R9),1)</f>
        <v>1</v>
      </c>
      <c r="S8" s="145">
        <f>weekday(date(Dashboard!$Q$3,$AG$45,S9),1)</f>
        <v>2</v>
      </c>
      <c r="T8" s="145">
        <f>weekday(date(Dashboard!$Q$3,$AG$45,T9),1)</f>
        <v>3</v>
      </c>
      <c r="U8" s="145">
        <f>weekday(date(Dashboard!$Q$3,$AG$45,U9),1)</f>
        <v>4</v>
      </c>
      <c r="V8" s="145">
        <f>weekday(date(Dashboard!$Q$3,$AG$45,V9),1)</f>
        <v>5</v>
      </c>
      <c r="W8" s="145">
        <f>weekday(date(Dashboard!$Q$3,$AG$45,W9),1)</f>
        <v>6</v>
      </c>
      <c r="X8" s="146">
        <f>weekday(date(Dashboard!$Q$3,$AG$45,X9),1)</f>
        <v>7</v>
      </c>
      <c r="Y8" s="146">
        <f>weekday(date(Dashboard!$Q$3,$AG$45,Y9),1)</f>
        <v>1</v>
      </c>
      <c r="Z8" s="146">
        <f>weekday(date(Dashboard!$Q$3,$AG$45,Z9),1)</f>
        <v>2</v>
      </c>
      <c r="AA8" s="146">
        <f>weekday(date(Dashboard!$Q$3,$AG$45,AA9),1)</f>
        <v>3</v>
      </c>
      <c r="AB8" s="146">
        <f>weekday(date(Dashboard!$Q$3,$AG$45,AB9),1)</f>
        <v>4</v>
      </c>
      <c r="AC8" s="146">
        <f>weekday(date(Dashboard!$Q$3,$AG$45,AC9),1)</f>
        <v>5</v>
      </c>
      <c r="AD8" s="146">
        <f>weekday(date(Dashboard!$Q$3,$AG$45,AD9),1)</f>
        <v>6</v>
      </c>
      <c r="AE8" s="147">
        <f>weekday(date(Dashboard!$Q$3,$AG$45,AE9),1)</f>
        <v>7</v>
      </c>
      <c r="AF8" s="147">
        <f>weekday(date(Dashboard!$Q$3,$AG$45,AF9),1)</f>
        <v>1</v>
      </c>
      <c r="AG8" s="148">
        <f>weekday(date(Dashboard!$Q$3,$AG$45,AG9),1)</f>
        <v>2</v>
      </c>
      <c r="AH8" s="149"/>
      <c r="AI8" s="43"/>
      <c r="AJ8" s="44"/>
      <c r="AK8" s="43"/>
      <c r="AL8" s="37"/>
      <c r="AM8" s="44"/>
      <c r="AN8" s="149"/>
    </row>
    <row r="9" ht="17.25" customHeight="1">
      <c r="A9" s="121"/>
      <c r="B9" s="150">
        <f>TODAY()</f>
        <v>46025</v>
      </c>
      <c r="C9" s="151">
        <v>1.0</v>
      </c>
      <c r="D9" s="151">
        <v>2.0</v>
      </c>
      <c r="E9" s="151">
        <v>3.0</v>
      </c>
      <c r="F9" s="151">
        <v>4.0</v>
      </c>
      <c r="G9" s="151">
        <v>5.0</v>
      </c>
      <c r="H9" s="151">
        <v>6.0</v>
      </c>
      <c r="I9" s="151">
        <v>7.0</v>
      </c>
      <c r="J9" s="152">
        <v>8.0</v>
      </c>
      <c r="K9" s="152">
        <v>9.0</v>
      </c>
      <c r="L9" s="152">
        <v>10.0</v>
      </c>
      <c r="M9" s="152">
        <v>11.0</v>
      </c>
      <c r="N9" s="152">
        <v>12.0</v>
      </c>
      <c r="O9" s="152">
        <v>13.0</v>
      </c>
      <c r="P9" s="152">
        <v>14.0</v>
      </c>
      <c r="Q9" s="153">
        <v>15.0</v>
      </c>
      <c r="R9" s="153">
        <v>16.0</v>
      </c>
      <c r="S9" s="153">
        <v>17.0</v>
      </c>
      <c r="T9" s="153">
        <v>18.0</v>
      </c>
      <c r="U9" s="153">
        <v>19.0</v>
      </c>
      <c r="V9" s="153">
        <v>20.0</v>
      </c>
      <c r="W9" s="153">
        <v>21.0</v>
      </c>
      <c r="X9" s="154">
        <v>22.0</v>
      </c>
      <c r="Y9" s="154">
        <v>23.0</v>
      </c>
      <c r="Z9" s="154">
        <v>24.0</v>
      </c>
      <c r="AA9" s="154">
        <v>25.0</v>
      </c>
      <c r="AB9" s="154">
        <v>26.0</v>
      </c>
      <c r="AC9" s="154">
        <v>27.0</v>
      </c>
      <c r="AD9" s="154">
        <v>28.0</v>
      </c>
      <c r="AE9" s="155">
        <v>29.0</v>
      </c>
      <c r="AF9" s="155">
        <v>30.0</v>
      </c>
      <c r="AG9" s="155">
        <v>31.0</v>
      </c>
      <c r="AH9" s="149"/>
      <c r="AI9" s="156" t="s">
        <v>14</v>
      </c>
      <c r="AJ9" s="156" t="s">
        <v>50</v>
      </c>
      <c r="AK9" s="157"/>
      <c r="AL9" s="158"/>
      <c r="AM9" s="159"/>
      <c r="AN9" s="149"/>
    </row>
    <row r="10" ht="17.25" customHeight="1">
      <c r="A10" s="121"/>
      <c r="B10" s="160"/>
      <c r="C10" s="161" t="b">
        <v>0</v>
      </c>
      <c r="D10" s="162" t="b">
        <v>0</v>
      </c>
      <c r="E10" s="162" t="b">
        <v>0</v>
      </c>
      <c r="F10" s="162" t="b">
        <v>0</v>
      </c>
      <c r="G10" s="162" t="b">
        <v>0</v>
      </c>
      <c r="H10" s="162" t="b">
        <v>0</v>
      </c>
      <c r="I10" s="162" t="b">
        <v>0</v>
      </c>
      <c r="J10" s="163" t="b">
        <v>0</v>
      </c>
      <c r="K10" s="163" t="b">
        <v>0</v>
      </c>
      <c r="L10" s="163" t="b">
        <v>0</v>
      </c>
      <c r="M10" s="163" t="b">
        <v>0</v>
      </c>
      <c r="N10" s="163" t="b">
        <v>0</v>
      </c>
      <c r="O10" s="163" t="b">
        <v>0</v>
      </c>
      <c r="P10" s="163" t="b">
        <v>0</v>
      </c>
      <c r="Q10" s="164" t="b">
        <v>0</v>
      </c>
      <c r="R10" s="164" t="b">
        <v>0</v>
      </c>
      <c r="S10" s="164" t="b">
        <v>0</v>
      </c>
      <c r="T10" s="164" t="b">
        <v>0</v>
      </c>
      <c r="U10" s="164" t="b">
        <v>0</v>
      </c>
      <c r="V10" s="164" t="b">
        <v>0</v>
      </c>
      <c r="W10" s="164" t="b">
        <v>0</v>
      </c>
      <c r="X10" s="165" t="b">
        <v>0</v>
      </c>
      <c r="Y10" s="165" t="b">
        <v>0</v>
      </c>
      <c r="Z10" s="165" t="b">
        <v>0</v>
      </c>
      <c r="AA10" s="165" t="b">
        <v>0</v>
      </c>
      <c r="AB10" s="165" t="b">
        <v>0</v>
      </c>
      <c r="AC10" s="165" t="b">
        <v>0</v>
      </c>
      <c r="AD10" s="165" t="b">
        <v>0</v>
      </c>
      <c r="AE10" s="166" t="b">
        <v>0</v>
      </c>
      <c r="AF10" s="166" t="b">
        <v>0</v>
      </c>
      <c r="AG10" s="166" t="b">
        <v>0</v>
      </c>
      <c r="AH10" s="149"/>
      <c r="AI10" s="167"/>
      <c r="AJ10" s="168">
        <f t="array" ref="AJ10:AJ21">MMULT(N($C$10:$AG$21), TRANSPOSE(COLUMN($C$10:$AG$21)^0))
</f>
        <v>0</v>
      </c>
      <c r="AK10" s="169" t="str">
        <f>IFERROR(__xludf.DUMMYFUNCTION("iferror(SPARKLINE(AJ10/AI10,{""charttype"",""bar"";""max"",1;""color1"",""#c9e4b2""}))"),"")</f>
        <v/>
      </c>
      <c r="AL10" s="46"/>
      <c r="AM10" s="47"/>
      <c r="AN10" s="170"/>
    </row>
    <row r="11" ht="17.25" customHeight="1">
      <c r="A11" s="121"/>
      <c r="B11" s="160"/>
      <c r="C11" s="161" t="b">
        <v>0</v>
      </c>
      <c r="D11" s="162" t="b">
        <v>0</v>
      </c>
      <c r="E11" s="162" t="b">
        <v>0</v>
      </c>
      <c r="F11" s="162" t="b">
        <v>0</v>
      </c>
      <c r="G11" s="162" t="b">
        <v>0</v>
      </c>
      <c r="H11" s="162" t="b">
        <v>0</v>
      </c>
      <c r="I11" s="162" t="b">
        <v>0</v>
      </c>
      <c r="J11" s="163" t="b">
        <v>0</v>
      </c>
      <c r="K11" s="163" t="b">
        <v>0</v>
      </c>
      <c r="L11" s="163" t="b">
        <v>0</v>
      </c>
      <c r="M11" s="163" t="b">
        <v>0</v>
      </c>
      <c r="N11" s="163" t="b">
        <v>0</v>
      </c>
      <c r="O11" s="163" t="b">
        <v>0</v>
      </c>
      <c r="P11" s="163" t="b">
        <v>0</v>
      </c>
      <c r="Q11" s="164" t="b">
        <v>0</v>
      </c>
      <c r="R11" s="164" t="b">
        <v>0</v>
      </c>
      <c r="S11" s="164" t="b">
        <v>0</v>
      </c>
      <c r="T11" s="164" t="b">
        <v>0</v>
      </c>
      <c r="U11" s="164" t="b">
        <v>0</v>
      </c>
      <c r="V11" s="164" t="b">
        <v>0</v>
      </c>
      <c r="W11" s="164" t="b">
        <v>0</v>
      </c>
      <c r="X11" s="165" t="b">
        <v>0</v>
      </c>
      <c r="Y11" s="165" t="b">
        <v>0</v>
      </c>
      <c r="Z11" s="165" t="b">
        <v>0</v>
      </c>
      <c r="AA11" s="165" t="b">
        <v>0</v>
      </c>
      <c r="AB11" s="165" t="b">
        <v>0</v>
      </c>
      <c r="AC11" s="165" t="b">
        <v>0</v>
      </c>
      <c r="AD11" s="165" t="b">
        <v>0</v>
      </c>
      <c r="AE11" s="166" t="b">
        <v>0</v>
      </c>
      <c r="AF11" s="166" t="b">
        <v>0</v>
      </c>
      <c r="AG11" s="166" t="b">
        <v>0</v>
      </c>
      <c r="AH11" s="149"/>
      <c r="AI11" s="167"/>
      <c r="AJ11" s="160">
        <v>0.0</v>
      </c>
      <c r="AK11" s="169" t="str">
        <f>IFERROR(__xludf.DUMMYFUNCTION("iferror(SPARKLINE(AJ11/AI11,{""charttype"",""bar"";""max"",1;""color1"",""#c9e4b2""}))"),"")</f>
        <v/>
      </c>
      <c r="AL11" s="46"/>
      <c r="AM11" s="47"/>
      <c r="AN11" s="170"/>
    </row>
    <row r="12" ht="17.25" customHeight="1">
      <c r="A12" s="121"/>
      <c r="B12" s="160"/>
      <c r="C12" s="161" t="b">
        <v>0</v>
      </c>
      <c r="D12" s="162" t="b">
        <v>0</v>
      </c>
      <c r="E12" s="162" t="b">
        <v>0</v>
      </c>
      <c r="F12" s="162" t="b">
        <v>0</v>
      </c>
      <c r="G12" s="162" t="b">
        <v>0</v>
      </c>
      <c r="H12" s="162" t="b">
        <v>0</v>
      </c>
      <c r="I12" s="162" t="b">
        <v>0</v>
      </c>
      <c r="J12" s="163" t="b">
        <v>0</v>
      </c>
      <c r="K12" s="163" t="b">
        <v>0</v>
      </c>
      <c r="L12" s="163" t="b">
        <v>0</v>
      </c>
      <c r="M12" s="163" t="b">
        <v>0</v>
      </c>
      <c r="N12" s="163" t="b">
        <v>0</v>
      </c>
      <c r="O12" s="163" t="b">
        <v>0</v>
      </c>
      <c r="P12" s="163" t="b">
        <v>0</v>
      </c>
      <c r="Q12" s="164" t="b">
        <v>0</v>
      </c>
      <c r="R12" s="164" t="b">
        <v>0</v>
      </c>
      <c r="S12" s="164" t="b">
        <v>0</v>
      </c>
      <c r="T12" s="164" t="b">
        <v>0</v>
      </c>
      <c r="U12" s="164" t="b">
        <v>0</v>
      </c>
      <c r="V12" s="164" t="b">
        <v>0</v>
      </c>
      <c r="W12" s="164" t="b">
        <v>0</v>
      </c>
      <c r="X12" s="165" t="b">
        <v>0</v>
      </c>
      <c r="Y12" s="165" t="b">
        <v>0</v>
      </c>
      <c r="Z12" s="165" t="b">
        <v>0</v>
      </c>
      <c r="AA12" s="165" t="b">
        <v>0</v>
      </c>
      <c r="AB12" s="165" t="b">
        <v>0</v>
      </c>
      <c r="AC12" s="165" t="b">
        <v>0</v>
      </c>
      <c r="AD12" s="165" t="b">
        <v>0</v>
      </c>
      <c r="AE12" s="166" t="b">
        <v>0</v>
      </c>
      <c r="AF12" s="166" t="b">
        <v>0</v>
      </c>
      <c r="AG12" s="166" t="b">
        <v>0</v>
      </c>
      <c r="AH12" s="149"/>
      <c r="AI12" s="167"/>
      <c r="AJ12" s="160">
        <v>0.0</v>
      </c>
      <c r="AK12" s="169" t="str">
        <f>IFERROR(__xludf.DUMMYFUNCTION("iferror(SPARKLINE(AJ12/AI12,{""charttype"",""bar"";""max"",1;""color1"",""#c9e4b2""}))"),"")</f>
        <v/>
      </c>
      <c r="AL12" s="46"/>
      <c r="AM12" s="47"/>
      <c r="AN12" s="170"/>
    </row>
    <row r="13" ht="17.25" customHeight="1">
      <c r="A13" s="121"/>
      <c r="B13" s="160"/>
      <c r="C13" s="161" t="b">
        <v>0</v>
      </c>
      <c r="D13" s="162" t="b">
        <v>0</v>
      </c>
      <c r="E13" s="162" t="b">
        <v>0</v>
      </c>
      <c r="F13" s="162" t="b">
        <v>0</v>
      </c>
      <c r="G13" s="162" t="b">
        <v>0</v>
      </c>
      <c r="H13" s="162" t="b">
        <v>0</v>
      </c>
      <c r="I13" s="162" t="b">
        <v>0</v>
      </c>
      <c r="J13" s="163" t="b">
        <v>0</v>
      </c>
      <c r="K13" s="163" t="b">
        <v>0</v>
      </c>
      <c r="L13" s="163" t="b">
        <v>0</v>
      </c>
      <c r="M13" s="163" t="b">
        <v>0</v>
      </c>
      <c r="N13" s="163" t="b">
        <v>0</v>
      </c>
      <c r="O13" s="163" t="b">
        <v>0</v>
      </c>
      <c r="P13" s="163" t="b">
        <v>0</v>
      </c>
      <c r="Q13" s="164" t="b">
        <v>0</v>
      </c>
      <c r="R13" s="164" t="b">
        <v>0</v>
      </c>
      <c r="S13" s="164" t="b">
        <v>0</v>
      </c>
      <c r="T13" s="164" t="b">
        <v>0</v>
      </c>
      <c r="U13" s="164" t="b">
        <v>0</v>
      </c>
      <c r="V13" s="164" t="b">
        <v>0</v>
      </c>
      <c r="W13" s="164" t="b">
        <v>0</v>
      </c>
      <c r="X13" s="165" t="b">
        <v>0</v>
      </c>
      <c r="Y13" s="165" t="b">
        <v>0</v>
      </c>
      <c r="Z13" s="165" t="b">
        <v>0</v>
      </c>
      <c r="AA13" s="165" t="b">
        <v>0</v>
      </c>
      <c r="AB13" s="165" t="b">
        <v>0</v>
      </c>
      <c r="AC13" s="165" t="b">
        <v>0</v>
      </c>
      <c r="AD13" s="165" t="b">
        <v>0</v>
      </c>
      <c r="AE13" s="166" t="b">
        <v>0</v>
      </c>
      <c r="AF13" s="166" t="b">
        <v>0</v>
      </c>
      <c r="AG13" s="166" t="b">
        <v>0</v>
      </c>
      <c r="AH13" s="149"/>
      <c r="AI13" s="167"/>
      <c r="AJ13" s="160">
        <v>0.0</v>
      </c>
      <c r="AK13" s="169" t="str">
        <f>IFERROR(__xludf.DUMMYFUNCTION("iferror(SPARKLINE(AJ13/AI13,{""charttype"",""bar"";""max"",1;""color1"",""#c9e4b2""}))"),"")</f>
        <v/>
      </c>
      <c r="AL13" s="46"/>
      <c r="AM13" s="47"/>
      <c r="AN13" s="170"/>
    </row>
    <row r="14" ht="17.25" customHeight="1">
      <c r="A14" s="121"/>
      <c r="B14" s="160"/>
      <c r="C14" s="161" t="b">
        <v>0</v>
      </c>
      <c r="D14" s="162" t="b">
        <v>0</v>
      </c>
      <c r="E14" s="162" t="b">
        <v>0</v>
      </c>
      <c r="F14" s="162" t="b">
        <v>0</v>
      </c>
      <c r="G14" s="162" t="b">
        <v>0</v>
      </c>
      <c r="H14" s="162" t="b">
        <v>0</v>
      </c>
      <c r="I14" s="162" t="b">
        <v>0</v>
      </c>
      <c r="J14" s="163" t="b">
        <v>0</v>
      </c>
      <c r="K14" s="163" t="b">
        <v>0</v>
      </c>
      <c r="L14" s="163" t="b">
        <v>0</v>
      </c>
      <c r="M14" s="163" t="b">
        <v>0</v>
      </c>
      <c r="N14" s="163" t="b">
        <v>0</v>
      </c>
      <c r="O14" s="163" t="b">
        <v>0</v>
      </c>
      <c r="P14" s="163" t="b">
        <v>0</v>
      </c>
      <c r="Q14" s="164" t="b">
        <v>0</v>
      </c>
      <c r="R14" s="164" t="b">
        <v>0</v>
      </c>
      <c r="S14" s="164" t="b">
        <v>0</v>
      </c>
      <c r="T14" s="164" t="b">
        <v>0</v>
      </c>
      <c r="U14" s="164" t="b">
        <v>0</v>
      </c>
      <c r="V14" s="164" t="b">
        <v>0</v>
      </c>
      <c r="W14" s="164" t="b">
        <v>0</v>
      </c>
      <c r="X14" s="165" t="b">
        <v>0</v>
      </c>
      <c r="Y14" s="165" t="b">
        <v>0</v>
      </c>
      <c r="Z14" s="165" t="b">
        <v>0</v>
      </c>
      <c r="AA14" s="165" t="b">
        <v>0</v>
      </c>
      <c r="AB14" s="165" t="b">
        <v>0</v>
      </c>
      <c r="AC14" s="165" t="b">
        <v>0</v>
      </c>
      <c r="AD14" s="165" t="b">
        <v>0</v>
      </c>
      <c r="AE14" s="166" t="b">
        <v>0</v>
      </c>
      <c r="AF14" s="166" t="b">
        <v>0</v>
      </c>
      <c r="AG14" s="166" t="b">
        <v>0</v>
      </c>
      <c r="AH14" s="149"/>
      <c r="AI14" s="167"/>
      <c r="AJ14" s="160">
        <v>0.0</v>
      </c>
      <c r="AK14" s="169" t="str">
        <f>IFERROR(__xludf.DUMMYFUNCTION("iferror(SPARKLINE(AJ14/AI14,{""charttype"",""bar"";""max"",1;""color1"",""#c9e4b2""}))"),"")</f>
        <v/>
      </c>
      <c r="AL14" s="46"/>
      <c r="AM14" s="47"/>
      <c r="AN14" s="170"/>
    </row>
    <row r="15" ht="17.25" customHeight="1">
      <c r="A15" s="121"/>
      <c r="B15" s="160"/>
      <c r="C15" s="161" t="b">
        <v>0</v>
      </c>
      <c r="D15" s="162" t="b">
        <v>0</v>
      </c>
      <c r="E15" s="162" t="b">
        <v>0</v>
      </c>
      <c r="F15" s="162" t="b">
        <v>0</v>
      </c>
      <c r="G15" s="162" t="b">
        <v>0</v>
      </c>
      <c r="H15" s="162" t="b">
        <v>0</v>
      </c>
      <c r="I15" s="162" t="b">
        <v>0</v>
      </c>
      <c r="J15" s="163" t="b">
        <v>0</v>
      </c>
      <c r="K15" s="163" t="b">
        <v>0</v>
      </c>
      <c r="L15" s="163" t="b">
        <v>0</v>
      </c>
      <c r="M15" s="163" t="b">
        <v>0</v>
      </c>
      <c r="N15" s="163" t="b">
        <v>0</v>
      </c>
      <c r="O15" s="163" t="b">
        <v>0</v>
      </c>
      <c r="P15" s="163" t="b">
        <v>0</v>
      </c>
      <c r="Q15" s="164" t="b">
        <v>0</v>
      </c>
      <c r="R15" s="164" t="b">
        <v>0</v>
      </c>
      <c r="S15" s="164" t="b">
        <v>0</v>
      </c>
      <c r="T15" s="164" t="b">
        <v>0</v>
      </c>
      <c r="U15" s="164" t="b">
        <v>0</v>
      </c>
      <c r="V15" s="164" t="b">
        <v>0</v>
      </c>
      <c r="W15" s="164" t="b">
        <v>0</v>
      </c>
      <c r="X15" s="165" t="b">
        <v>0</v>
      </c>
      <c r="Y15" s="165" t="b">
        <v>0</v>
      </c>
      <c r="Z15" s="165" t="b">
        <v>0</v>
      </c>
      <c r="AA15" s="165" t="b">
        <v>0</v>
      </c>
      <c r="AB15" s="165" t="b">
        <v>0</v>
      </c>
      <c r="AC15" s="165" t="b">
        <v>0</v>
      </c>
      <c r="AD15" s="165" t="b">
        <v>0</v>
      </c>
      <c r="AE15" s="166" t="b">
        <v>0</v>
      </c>
      <c r="AF15" s="166" t="b">
        <v>0</v>
      </c>
      <c r="AG15" s="166" t="b">
        <v>0</v>
      </c>
      <c r="AH15" s="149"/>
      <c r="AI15" s="167"/>
      <c r="AJ15" s="160">
        <v>0.0</v>
      </c>
      <c r="AK15" s="169" t="str">
        <f>IFERROR(__xludf.DUMMYFUNCTION("iferror(SPARKLINE(AJ15/AI15,{""charttype"",""bar"";""max"",1;""color1"",""#c9e4b2""}))"),"")</f>
        <v/>
      </c>
      <c r="AL15" s="46"/>
      <c r="AM15" s="47"/>
      <c r="AN15" s="170"/>
    </row>
    <row r="16" ht="17.25" customHeight="1">
      <c r="A16" s="121"/>
      <c r="B16" s="160"/>
      <c r="C16" s="161" t="b">
        <v>0</v>
      </c>
      <c r="D16" s="162" t="b">
        <v>0</v>
      </c>
      <c r="E16" s="162" t="b">
        <v>0</v>
      </c>
      <c r="F16" s="162" t="b">
        <v>0</v>
      </c>
      <c r="G16" s="162" t="b">
        <v>0</v>
      </c>
      <c r="H16" s="162" t="b">
        <v>0</v>
      </c>
      <c r="I16" s="162" t="b">
        <v>0</v>
      </c>
      <c r="J16" s="163" t="b">
        <v>0</v>
      </c>
      <c r="K16" s="163" t="b">
        <v>0</v>
      </c>
      <c r="L16" s="163" t="b">
        <v>0</v>
      </c>
      <c r="M16" s="163" t="b">
        <v>0</v>
      </c>
      <c r="N16" s="163" t="b">
        <v>0</v>
      </c>
      <c r="O16" s="163" t="b">
        <v>0</v>
      </c>
      <c r="P16" s="163" t="b">
        <v>0</v>
      </c>
      <c r="Q16" s="164" t="b">
        <v>0</v>
      </c>
      <c r="R16" s="164" t="b">
        <v>0</v>
      </c>
      <c r="S16" s="164" t="b">
        <v>0</v>
      </c>
      <c r="T16" s="164" t="b">
        <v>0</v>
      </c>
      <c r="U16" s="164" t="b">
        <v>0</v>
      </c>
      <c r="V16" s="164" t="b">
        <v>0</v>
      </c>
      <c r="W16" s="164" t="b">
        <v>0</v>
      </c>
      <c r="X16" s="165" t="b">
        <v>0</v>
      </c>
      <c r="Y16" s="165" t="b">
        <v>0</v>
      </c>
      <c r="Z16" s="165" t="b">
        <v>0</v>
      </c>
      <c r="AA16" s="165" t="b">
        <v>0</v>
      </c>
      <c r="AB16" s="165" t="b">
        <v>0</v>
      </c>
      <c r="AC16" s="165" t="b">
        <v>0</v>
      </c>
      <c r="AD16" s="165" t="b">
        <v>0</v>
      </c>
      <c r="AE16" s="166" t="b">
        <v>0</v>
      </c>
      <c r="AF16" s="166" t="b">
        <v>0</v>
      </c>
      <c r="AG16" s="166" t="b">
        <v>0</v>
      </c>
      <c r="AH16" s="149"/>
      <c r="AI16" s="167"/>
      <c r="AJ16" s="160">
        <v>0.0</v>
      </c>
      <c r="AK16" s="169" t="str">
        <f>IFERROR(__xludf.DUMMYFUNCTION("iferror(SPARKLINE(AJ16/AI16,{""charttype"",""bar"";""max"",1;""color1"",""#c9e4b2""}))"),"")</f>
        <v/>
      </c>
      <c r="AL16" s="46"/>
      <c r="AM16" s="47"/>
      <c r="AN16" s="170"/>
    </row>
    <row r="17" ht="17.25" customHeight="1">
      <c r="A17" s="121"/>
      <c r="B17" s="160"/>
      <c r="C17" s="161" t="b">
        <v>0</v>
      </c>
      <c r="D17" s="162" t="b">
        <v>0</v>
      </c>
      <c r="E17" s="162" t="b">
        <v>0</v>
      </c>
      <c r="F17" s="162" t="b">
        <v>0</v>
      </c>
      <c r="G17" s="162" t="b">
        <v>0</v>
      </c>
      <c r="H17" s="162" t="b">
        <v>0</v>
      </c>
      <c r="I17" s="162" t="b">
        <v>0</v>
      </c>
      <c r="J17" s="163" t="b">
        <v>0</v>
      </c>
      <c r="K17" s="163" t="b">
        <v>0</v>
      </c>
      <c r="L17" s="163" t="b">
        <v>0</v>
      </c>
      <c r="M17" s="163" t="b">
        <v>0</v>
      </c>
      <c r="N17" s="163" t="b">
        <v>0</v>
      </c>
      <c r="O17" s="163" t="b">
        <v>0</v>
      </c>
      <c r="P17" s="163" t="b">
        <v>0</v>
      </c>
      <c r="Q17" s="164" t="b">
        <v>0</v>
      </c>
      <c r="R17" s="164" t="b">
        <v>0</v>
      </c>
      <c r="S17" s="164" t="b">
        <v>0</v>
      </c>
      <c r="T17" s="164" t="b">
        <v>0</v>
      </c>
      <c r="U17" s="164" t="b">
        <v>0</v>
      </c>
      <c r="V17" s="164" t="b">
        <v>0</v>
      </c>
      <c r="W17" s="164" t="b">
        <v>0</v>
      </c>
      <c r="X17" s="165" t="b">
        <v>0</v>
      </c>
      <c r="Y17" s="165" t="b">
        <v>0</v>
      </c>
      <c r="Z17" s="165" t="b">
        <v>0</v>
      </c>
      <c r="AA17" s="165" t="b">
        <v>0</v>
      </c>
      <c r="AB17" s="165" t="b">
        <v>0</v>
      </c>
      <c r="AC17" s="165" t="b">
        <v>0</v>
      </c>
      <c r="AD17" s="165" t="b">
        <v>0</v>
      </c>
      <c r="AE17" s="166" t="b">
        <v>0</v>
      </c>
      <c r="AF17" s="166" t="b">
        <v>0</v>
      </c>
      <c r="AG17" s="166" t="b">
        <v>0</v>
      </c>
      <c r="AH17" s="149"/>
      <c r="AI17" s="167"/>
      <c r="AJ17" s="160">
        <v>0.0</v>
      </c>
      <c r="AK17" s="169" t="str">
        <f>IFERROR(__xludf.DUMMYFUNCTION("iferror(SPARKLINE(AJ17/AI17,{""charttype"",""bar"";""max"",1;""color1"",""#c9e4b2""}))"),"")</f>
        <v/>
      </c>
      <c r="AL17" s="46"/>
      <c r="AM17" s="47"/>
      <c r="AN17" s="170"/>
    </row>
    <row r="18" ht="17.25" customHeight="1">
      <c r="A18" s="121"/>
      <c r="B18" s="160"/>
      <c r="C18" s="161" t="b">
        <v>0</v>
      </c>
      <c r="D18" s="162" t="b">
        <v>0</v>
      </c>
      <c r="E18" s="162" t="b">
        <v>0</v>
      </c>
      <c r="F18" s="162" t="b">
        <v>0</v>
      </c>
      <c r="G18" s="162" t="b">
        <v>0</v>
      </c>
      <c r="H18" s="162" t="b">
        <v>0</v>
      </c>
      <c r="I18" s="162" t="b">
        <v>0</v>
      </c>
      <c r="J18" s="163" t="b">
        <v>0</v>
      </c>
      <c r="K18" s="163" t="b">
        <v>0</v>
      </c>
      <c r="L18" s="163" t="b">
        <v>0</v>
      </c>
      <c r="M18" s="163" t="b">
        <v>0</v>
      </c>
      <c r="N18" s="163" t="b">
        <v>0</v>
      </c>
      <c r="O18" s="163" t="b">
        <v>0</v>
      </c>
      <c r="P18" s="163" t="b">
        <v>0</v>
      </c>
      <c r="Q18" s="164" t="b">
        <v>0</v>
      </c>
      <c r="R18" s="164" t="b">
        <v>0</v>
      </c>
      <c r="S18" s="164" t="b">
        <v>0</v>
      </c>
      <c r="T18" s="164" t="b">
        <v>0</v>
      </c>
      <c r="U18" s="164" t="b">
        <v>0</v>
      </c>
      <c r="V18" s="164" t="b">
        <v>0</v>
      </c>
      <c r="W18" s="164" t="b">
        <v>0</v>
      </c>
      <c r="X18" s="165" t="b">
        <v>0</v>
      </c>
      <c r="Y18" s="165" t="b">
        <v>0</v>
      </c>
      <c r="Z18" s="165" t="b">
        <v>0</v>
      </c>
      <c r="AA18" s="165" t="b">
        <v>0</v>
      </c>
      <c r="AB18" s="165" t="b">
        <v>0</v>
      </c>
      <c r="AC18" s="165" t="b">
        <v>0</v>
      </c>
      <c r="AD18" s="165" t="b">
        <v>0</v>
      </c>
      <c r="AE18" s="166" t="b">
        <v>0</v>
      </c>
      <c r="AF18" s="166" t="b">
        <v>0</v>
      </c>
      <c r="AG18" s="166" t="b">
        <v>0</v>
      </c>
      <c r="AH18" s="149"/>
      <c r="AI18" s="167"/>
      <c r="AJ18" s="160">
        <v>0.0</v>
      </c>
      <c r="AK18" s="169" t="str">
        <f>IFERROR(__xludf.DUMMYFUNCTION("iferror(SPARKLINE(AJ18/AI18,{""charttype"",""bar"";""max"",1;""color1"",""#c9e4b2""}))"),"")</f>
        <v/>
      </c>
      <c r="AL18" s="46"/>
      <c r="AM18" s="47"/>
      <c r="AN18" s="170"/>
    </row>
    <row r="19" ht="17.25" customHeight="1">
      <c r="A19" s="121"/>
      <c r="B19" s="160"/>
      <c r="C19" s="161" t="b">
        <v>0</v>
      </c>
      <c r="D19" s="162" t="b">
        <v>0</v>
      </c>
      <c r="E19" s="162" t="b">
        <v>0</v>
      </c>
      <c r="F19" s="162" t="b">
        <v>0</v>
      </c>
      <c r="G19" s="162" t="b">
        <v>0</v>
      </c>
      <c r="H19" s="162" t="b">
        <v>0</v>
      </c>
      <c r="I19" s="162" t="b">
        <v>0</v>
      </c>
      <c r="J19" s="163" t="b">
        <v>0</v>
      </c>
      <c r="K19" s="163" t="b">
        <v>0</v>
      </c>
      <c r="L19" s="163" t="b">
        <v>0</v>
      </c>
      <c r="M19" s="163" t="b">
        <v>0</v>
      </c>
      <c r="N19" s="163" t="b">
        <v>0</v>
      </c>
      <c r="O19" s="163" t="b">
        <v>0</v>
      </c>
      <c r="P19" s="163" t="b">
        <v>0</v>
      </c>
      <c r="Q19" s="164" t="b">
        <v>0</v>
      </c>
      <c r="R19" s="164" t="b">
        <v>0</v>
      </c>
      <c r="S19" s="164" t="b">
        <v>0</v>
      </c>
      <c r="T19" s="164" t="b">
        <v>0</v>
      </c>
      <c r="U19" s="164" t="b">
        <v>0</v>
      </c>
      <c r="V19" s="164" t="b">
        <v>0</v>
      </c>
      <c r="W19" s="164" t="b">
        <v>0</v>
      </c>
      <c r="X19" s="165" t="b">
        <v>0</v>
      </c>
      <c r="Y19" s="165" t="b">
        <v>0</v>
      </c>
      <c r="Z19" s="165" t="b">
        <v>0</v>
      </c>
      <c r="AA19" s="165" t="b">
        <v>0</v>
      </c>
      <c r="AB19" s="165" t="b">
        <v>0</v>
      </c>
      <c r="AC19" s="165" t="b">
        <v>0</v>
      </c>
      <c r="AD19" s="165" t="b">
        <v>0</v>
      </c>
      <c r="AE19" s="166" t="b">
        <v>0</v>
      </c>
      <c r="AF19" s="166" t="b">
        <v>0</v>
      </c>
      <c r="AG19" s="166" t="b">
        <v>0</v>
      </c>
      <c r="AH19" s="149"/>
      <c r="AI19" s="167"/>
      <c r="AJ19" s="160">
        <v>0.0</v>
      </c>
      <c r="AK19" s="169" t="str">
        <f>IFERROR(__xludf.DUMMYFUNCTION("iferror(SPARKLINE(AJ19/AI19,{""charttype"",""bar"";""max"",1;""color1"",""#c9e4b2""}))"),"")</f>
        <v/>
      </c>
      <c r="AL19" s="46"/>
      <c r="AM19" s="47"/>
      <c r="AN19" s="170"/>
    </row>
    <row r="20" ht="17.25" customHeight="1">
      <c r="A20" s="121"/>
      <c r="B20" s="160"/>
      <c r="C20" s="161" t="b">
        <v>0</v>
      </c>
      <c r="D20" s="162" t="b">
        <v>0</v>
      </c>
      <c r="E20" s="162" t="b">
        <v>0</v>
      </c>
      <c r="F20" s="162" t="b">
        <v>0</v>
      </c>
      <c r="G20" s="162" t="b">
        <v>0</v>
      </c>
      <c r="H20" s="162" t="b">
        <v>0</v>
      </c>
      <c r="I20" s="162" t="b">
        <v>0</v>
      </c>
      <c r="J20" s="163" t="b">
        <v>0</v>
      </c>
      <c r="K20" s="163" t="b">
        <v>0</v>
      </c>
      <c r="L20" s="163" t="b">
        <v>0</v>
      </c>
      <c r="M20" s="163" t="b">
        <v>0</v>
      </c>
      <c r="N20" s="163" t="b">
        <v>0</v>
      </c>
      <c r="O20" s="163" t="b">
        <v>0</v>
      </c>
      <c r="P20" s="163" t="b">
        <v>0</v>
      </c>
      <c r="Q20" s="164" t="b">
        <v>0</v>
      </c>
      <c r="R20" s="164" t="b">
        <v>0</v>
      </c>
      <c r="S20" s="164" t="b">
        <v>0</v>
      </c>
      <c r="T20" s="164" t="b">
        <v>0</v>
      </c>
      <c r="U20" s="164" t="b">
        <v>0</v>
      </c>
      <c r="V20" s="164" t="b">
        <v>0</v>
      </c>
      <c r="W20" s="164" t="b">
        <v>0</v>
      </c>
      <c r="X20" s="165" t="b">
        <v>0</v>
      </c>
      <c r="Y20" s="165" t="b">
        <v>0</v>
      </c>
      <c r="Z20" s="165" t="b">
        <v>0</v>
      </c>
      <c r="AA20" s="165" t="b">
        <v>0</v>
      </c>
      <c r="AB20" s="165" t="b">
        <v>0</v>
      </c>
      <c r="AC20" s="165" t="b">
        <v>0</v>
      </c>
      <c r="AD20" s="165" t="b">
        <v>0</v>
      </c>
      <c r="AE20" s="166" t="b">
        <v>0</v>
      </c>
      <c r="AF20" s="166" t="b">
        <v>0</v>
      </c>
      <c r="AG20" s="166" t="b">
        <v>0</v>
      </c>
      <c r="AH20" s="149"/>
      <c r="AI20" s="167"/>
      <c r="AJ20" s="160">
        <v>0.0</v>
      </c>
      <c r="AK20" s="169" t="str">
        <f>IFERROR(__xludf.DUMMYFUNCTION("iferror(SPARKLINE(AJ20/AI20,{""charttype"",""bar"";""max"",1;""color1"",""#c9e4b2""}))"),"")</f>
        <v/>
      </c>
      <c r="AL20" s="46"/>
      <c r="AM20" s="47"/>
      <c r="AN20" s="170"/>
    </row>
    <row r="21" ht="17.25" customHeight="1">
      <c r="A21" s="121"/>
      <c r="B21" s="160"/>
      <c r="C21" s="171" t="b">
        <v>0</v>
      </c>
      <c r="D21" s="172" t="b">
        <v>0</v>
      </c>
      <c r="E21" s="172" t="b">
        <v>0</v>
      </c>
      <c r="F21" s="172" t="b">
        <v>0</v>
      </c>
      <c r="G21" s="172" t="b">
        <v>0</v>
      </c>
      <c r="H21" s="172" t="b">
        <v>0</v>
      </c>
      <c r="I21" s="172" t="b">
        <v>0</v>
      </c>
      <c r="J21" s="173" t="b">
        <v>0</v>
      </c>
      <c r="K21" s="173" t="b">
        <v>0</v>
      </c>
      <c r="L21" s="173" t="b">
        <v>0</v>
      </c>
      <c r="M21" s="173" t="b">
        <v>0</v>
      </c>
      <c r="N21" s="173" t="b">
        <v>0</v>
      </c>
      <c r="O21" s="173" t="b">
        <v>0</v>
      </c>
      <c r="P21" s="173" t="b">
        <v>0</v>
      </c>
      <c r="Q21" s="174" t="b">
        <v>0</v>
      </c>
      <c r="R21" s="174" t="b">
        <v>0</v>
      </c>
      <c r="S21" s="174" t="b">
        <v>0</v>
      </c>
      <c r="T21" s="174" t="b">
        <v>0</v>
      </c>
      <c r="U21" s="174" t="b">
        <v>0</v>
      </c>
      <c r="V21" s="174" t="b">
        <v>0</v>
      </c>
      <c r="W21" s="174" t="b">
        <v>0</v>
      </c>
      <c r="X21" s="175" t="b">
        <v>0</v>
      </c>
      <c r="Y21" s="175" t="b">
        <v>0</v>
      </c>
      <c r="Z21" s="175" t="b">
        <v>0</v>
      </c>
      <c r="AA21" s="175" t="b">
        <v>0</v>
      </c>
      <c r="AB21" s="175" t="b">
        <v>0</v>
      </c>
      <c r="AC21" s="175" t="b">
        <v>0</v>
      </c>
      <c r="AD21" s="175" t="b">
        <v>0</v>
      </c>
      <c r="AE21" s="176" t="b">
        <v>0</v>
      </c>
      <c r="AF21" s="176" t="b">
        <v>0</v>
      </c>
      <c r="AG21" s="176" t="b">
        <v>0</v>
      </c>
      <c r="AH21" s="149"/>
      <c r="AI21" s="167"/>
      <c r="AJ21" s="160">
        <v>0.0</v>
      </c>
      <c r="AK21" s="169" t="str">
        <f>IFERROR(__xludf.DUMMYFUNCTION("iferror(SPARKLINE(AJ21/AI21,{""charttype"",""bar"";""max"",1;""color1"",""#c9e4b2""}))"),"")</f>
        <v/>
      </c>
      <c r="AL21" s="46"/>
      <c r="AM21" s="47"/>
      <c r="AN21" s="170"/>
    </row>
    <row r="22" ht="17.25" customHeight="1">
      <c r="A22" s="121"/>
      <c r="B22" s="121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49"/>
      <c r="AK22" s="149"/>
      <c r="AL22" s="149"/>
      <c r="AM22" s="149"/>
      <c r="AN22" s="149"/>
    </row>
    <row r="23" ht="17.25" customHeight="1">
      <c r="A23" s="121"/>
      <c r="B23" s="219" t="s">
        <v>26</v>
      </c>
      <c r="C23" s="178">
        <f t="shared" ref="C23:AG23" si="1">COUNTIF(C10:C21, TRUE)/COUNTA(C10:C21)</f>
        <v>0</v>
      </c>
      <c r="D23" s="178">
        <f t="shared" si="1"/>
        <v>0</v>
      </c>
      <c r="E23" s="178">
        <f t="shared" si="1"/>
        <v>0</v>
      </c>
      <c r="F23" s="178">
        <f t="shared" si="1"/>
        <v>0</v>
      </c>
      <c r="G23" s="178">
        <f t="shared" si="1"/>
        <v>0</v>
      </c>
      <c r="H23" s="178">
        <f t="shared" si="1"/>
        <v>0</v>
      </c>
      <c r="I23" s="178">
        <f t="shared" si="1"/>
        <v>0</v>
      </c>
      <c r="J23" s="178">
        <f t="shared" si="1"/>
        <v>0</v>
      </c>
      <c r="K23" s="178">
        <f t="shared" si="1"/>
        <v>0</v>
      </c>
      <c r="L23" s="178">
        <f t="shared" si="1"/>
        <v>0</v>
      </c>
      <c r="M23" s="178">
        <f t="shared" si="1"/>
        <v>0</v>
      </c>
      <c r="N23" s="178">
        <f t="shared" si="1"/>
        <v>0</v>
      </c>
      <c r="O23" s="178">
        <f t="shared" si="1"/>
        <v>0</v>
      </c>
      <c r="P23" s="178">
        <f t="shared" si="1"/>
        <v>0</v>
      </c>
      <c r="Q23" s="178">
        <f t="shared" si="1"/>
        <v>0</v>
      </c>
      <c r="R23" s="178">
        <f t="shared" si="1"/>
        <v>0</v>
      </c>
      <c r="S23" s="178">
        <f t="shared" si="1"/>
        <v>0</v>
      </c>
      <c r="T23" s="178">
        <f t="shared" si="1"/>
        <v>0</v>
      </c>
      <c r="U23" s="178">
        <f t="shared" si="1"/>
        <v>0</v>
      </c>
      <c r="V23" s="178">
        <f t="shared" si="1"/>
        <v>0</v>
      </c>
      <c r="W23" s="178">
        <f t="shared" si="1"/>
        <v>0</v>
      </c>
      <c r="X23" s="178">
        <f t="shared" si="1"/>
        <v>0</v>
      </c>
      <c r="Y23" s="178">
        <f t="shared" si="1"/>
        <v>0</v>
      </c>
      <c r="Z23" s="178">
        <f t="shared" si="1"/>
        <v>0</v>
      </c>
      <c r="AA23" s="178">
        <f t="shared" si="1"/>
        <v>0</v>
      </c>
      <c r="AB23" s="178">
        <f t="shared" si="1"/>
        <v>0</v>
      </c>
      <c r="AC23" s="178">
        <f t="shared" si="1"/>
        <v>0</v>
      </c>
      <c r="AD23" s="178">
        <f t="shared" si="1"/>
        <v>0</v>
      </c>
      <c r="AE23" s="178">
        <f t="shared" si="1"/>
        <v>0</v>
      </c>
      <c r="AF23" s="178">
        <f t="shared" si="1"/>
        <v>0</v>
      </c>
      <c r="AG23" s="178">
        <f t="shared" si="1"/>
        <v>0</v>
      </c>
      <c r="AH23" s="149"/>
      <c r="AI23" s="179"/>
      <c r="AJ23" s="180"/>
      <c r="AK23" s="149"/>
      <c r="AL23" s="149"/>
      <c r="AM23" s="149"/>
      <c r="AN23" s="149"/>
    </row>
    <row r="24" ht="17.25" customHeight="1">
      <c r="A24" s="121"/>
      <c r="B24" s="219" t="s">
        <v>51</v>
      </c>
      <c r="C24" s="181">
        <f t="shared" ref="C24:AG24" si="2">COUNTIF(C10:C21, true)</f>
        <v>0</v>
      </c>
      <c r="D24" s="181">
        <f t="shared" si="2"/>
        <v>0</v>
      </c>
      <c r="E24" s="181">
        <f t="shared" si="2"/>
        <v>0</v>
      </c>
      <c r="F24" s="181">
        <f t="shared" si="2"/>
        <v>0</v>
      </c>
      <c r="G24" s="181">
        <f t="shared" si="2"/>
        <v>0</v>
      </c>
      <c r="H24" s="181">
        <f t="shared" si="2"/>
        <v>0</v>
      </c>
      <c r="I24" s="181">
        <f t="shared" si="2"/>
        <v>0</v>
      </c>
      <c r="J24" s="181">
        <f t="shared" si="2"/>
        <v>0</v>
      </c>
      <c r="K24" s="181">
        <f t="shared" si="2"/>
        <v>0</v>
      </c>
      <c r="L24" s="181">
        <f t="shared" si="2"/>
        <v>0</v>
      </c>
      <c r="M24" s="181">
        <f t="shared" si="2"/>
        <v>0</v>
      </c>
      <c r="N24" s="181">
        <f t="shared" si="2"/>
        <v>0</v>
      </c>
      <c r="O24" s="181">
        <f t="shared" si="2"/>
        <v>0</v>
      </c>
      <c r="P24" s="181">
        <f t="shared" si="2"/>
        <v>0</v>
      </c>
      <c r="Q24" s="181">
        <f t="shared" si="2"/>
        <v>0</v>
      </c>
      <c r="R24" s="181">
        <f t="shared" si="2"/>
        <v>0</v>
      </c>
      <c r="S24" s="181">
        <f t="shared" si="2"/>
        <v>0</v>
      </c>
      <c r="T24" s="181">
        <f t="shared" si="2"/>
        <v>0</v>
      </c>
      <c r="U24" s="181">
        <f t="shared" si="2"/>
        <v>0</v>
      </c>
      <c r="V24" s="181">
        <f t="shared" si="2"/>
        <v>0</v>
      </c>
      <c r="W24" s="181">
        <f t="shared" si="2"/>
        <v>0</v>
      </c>
      <c r="X24" s="181">
        <f t="shared" si="2"/>
        <v>0</v>
      </c>
      <c r="Y24" s="181">
        <f t="shared" si="2"/>
        <v>0</v>
      </c>
      <c r="Z24" s="181">
        <f t="shared" si="2"/>
        <v>0</v>
      </c>
      <c r="AA24" s="181">
        <f t="shared" si="2"/>
        <v>0</v>
      </c>
      <c r="AB24" s="181">
        <f t="shared" si="2"/>
        <v>0</v>
      </c>
      <c r="AC24" s="181">
        <f t="shared" si="2"/>
        <v>0</v>
      </c>
      <c r="AD24" s="181">
        <f t="shared" si="2"/>
        <v>0</v>
      </c>
      <c r="AE24" s="181">
        <f t="shared" si="2"/>
        <v>0</v>
      </c>
      <c r="AF24" s="181">
        <f t="shared" si="2"/>
        <v>0</v>
      </c>
      <c r="AG24" s="181">
        <f t="shared" si="2"/>
        <v>0</v>
      </c>
      <c r="AH24" s="149"/>
      <c r="AI24" s="179"/>
      <c r="AJ24" s="180"/>
      <c r="AK24" s="149"/>
      <c r="AL24" s="149"/>
      <c r="AM24" s="149"/>
      <c r="AN24" s="149"/>
    </row>
    <row r="25" ht="17.25" customHeight="1">
      <c r="A25" s="121"/>
      <c r="B25" s="219" t="s">
        <v>52</v>
      </c>
      <c r="C25" s="182">
        <f t="shared" ref="C25:AG25" si="3">COUNTIF(C10:C21, false)</f>
        <v>12</v>
      </c>
      <c r="D25" s="182">
        <f t="shared" si="3"/>
        <v>12</v>
      </c>
      <c r="E25" s="182">
        <f t="shared" si="3"/>
        <v>12</v>
      </c>
      <c r="F25" s="182">
        <f t="shared" si="3"/>
        <v>12</v>
      </c>
      <c r="G25" s="182">
        <f t="shared" si="3"/>
        <v>12</v>
      </c>
      <c r="H25" s="182">
        <f t="shared" si="3"/>
        <v>12</v>
      </c>
      <c r="I25" s="182">
        <f t="shared" si="3"/>
        <v>12</v>
      </c>
      <c r="J25" s="182">
        <f t="shared" si="3"/>
        <v>12</v>
      </c>
      <c r="K25" s="182">
        <f t="shared" si="3"/>
        <v>12</v>
      </c>
      <c r="L25" s="182">
        <f t="shared" si="3"/>
        <v>12</v>
      </c>
      <c r="M25" s="182">
        <f t="shared" si="3"/>
        <v>12</v>
      </c>
      <c r="N25" s="182">
        <f t="shared" si="3"/>
        <v>12</v>
      </c>
      <c r="O25" s="182">
        <f t="shared" si="3"/>
        <v>12</v>
      </c>
      <c r="P25" s="182">
        <f t="shared" si="3"/>
        <v>12</v>
      </c>
      <c r="Q25" s="182">
        <f t="shared" si="3"/>
        <v>12</v>
      </c>
      <c r="R25" s="182">
        <f t="shared" si="3"/>
        <v>12</v>
      </c>
      <c r="S25" s="182">
        <f t="shared" si="3"/>
        <v>12</v>
      </c>
      <c r="T25" s="182">
        <f t="shared" si="3"/>
        <v>12</v>
      </c>
      <c r="U25" s="182">
        <f t="shared" si="3"/>
        <v>12</v>
      </c>
      <c r="V25" s="182">
        <f t="shared" si="3"/>
        <v>12</v>
      </c>
      <c r="W25" s="182">
        <f t="shared" si="3"/>
        <v>12</v>
      </c>
      <c r="X25" s="182">
        <f t="shared" si="3"/>
        <v>12</v>
      </c>
      <c r="Y25" s="182">
        <f t="shared" si="3"/>
        <v>12</v>
      </c>
      <c r="Z25" s="182">
        <f t="shared" si="3"/>
        <v>12</v>
      </c>
      <c r="AA25" s="182">
        <f t="shared" si="3"/>
        <v>12</v>
      </c>
      <c r="AB25" s="182">
        <f t="shared" si="3"/>
        <v>12</v>
      </c>
      <c r="AC25" s="182">
        <f t="shared" si="3"/>
        <v>12</v>
      </c>
      <c r="AD25" s="182">
        <f t="shared" si="3"/>
        <v>12</v>
      </c>
      <c r="AE25" s="182">
        <f t="shared" si="3"/>
        <v>12</v>
      </c>
      <c r="AF25" s="182">
        <f t="shared" si="3"/>
        <v>12</v>
      </c>
      <c r="AG25" s="182">
        <f t="shared" si="3"/>
        <v>12</v>
      </c>
      <c r="AH25" s="149"/>
      <c r="AI25" s="179"/>
      <c r="AJ25" s="180"/>
      <c r="AK25" s="149"/>
      <c r="AL25" s="149"/>
      <c r="AM25" s="149"/>
      <c r="AN25" s="149"/>
    </row>
    <row r="26" ht="17.25" customHeight="1">
      <c r="A26" s="121"/>
      <c r="B26" s="121"/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  <c r="AA26" s="149"/>
      <c r="AB26" s="149"/>
      <c r="AC26" s="149"/>
      <c r="AD26" s="149"/>
      <c r="AE26" s="149"/>
      <c r="AF26" s="149"/>
      <c r="AG26" s="149"/>
      <c r="AH26" s="149"/>
      <c r="AI26" s="179"/>
      <c r="AJ26" s="180"/>
      <c r="AK26" s="149"/>
      <c r="AL26" s="149"/>
      <c r="AM26" s="149"/>
      <c r="AN26" s="149"/>
    </row>
    <row r="27" ht="17.25" customHeight="1">
      <c r="A27" s="121"/>
      <c r="B27" s="121"/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  <c r="AA27" s="149"/>
      <c r="AB27" s="149"/>
      <c r="AC27" s="149"/>
      <c r="AD27" s="149"/>
      <c r="AE27" s="149"/>
      <c r="AF27" s="149"/>
      <c r="AG27" s="149"/>
      <c r="AH27" s="149"/>
      <c r="AI27" s="179"/>
      <c r="AJ27" s="180"/>
      <c r="AK27" s="149"/>
      <c r="AL27" s="149"/>
      <c r="AM27" s="149"/>
      <c r="AN27" s="149"/>
    </row>
    <row r="28" ht="17.25" customHeight="1">
      <c r="A28" s="121"/>
      <c r="B28" s="121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  <c r="AB28" s="149"/>
      <c r="AC28" s="149"/>
      <c r="AD28" s="149"/>
      <c r="AE28" s="149"/>
      <c r="AF28" s="149"/>
      <c r="AG28" s="149"/>
      <c r="AH28" s="149"/>
      <c r="AI28" s="179"/>
      <c r="AJ28" s="180"/>
      <c r="AK28" s="149"/>
      <c r="AL28" s="149"/>
      <c r="AM28" s="149"/>
      <c r="AN28" s="149"/>
    </row>
    <row r="29" ht="17.25" customHeight="1">
      <c r="A29" s="121"/>
      <c r="B29" s="121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79"/>
      <c r="AJ29" s="180"/>
      <c r="AK29" s="149"/>
      <c r="AL29" s="149"/>
      <c r="AM29" s="149"/>
      <c r="AN29" s="149"/>
    </row>
    <row r="30" ht="17.25" customHeight="1">
      <c r="A30" s="121"/>
      <c r="B30" s="121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49"/>
      <c r="AE30" s="149"/>
      <c r="AF30" s="149"/>
      <c r="AG30" s="149"/>
      <c r="AH30" s="149"/>
      <c r="AI30" s="179"/>
      <c r="AJ30" s="180"/>
      <c r="AK30" s="149"/>
      <c r="AL30" s="149"/>
      <c r="AM30" s="149"/>
      <c r="AN30" s="149"/>
    </row>
    <row r="31" ht="17.25" customHeight="1">
      <c r="A31" s="121"/>
      <c r="B31" s="121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  <c r="AI31" s="179"/>
      <c r="AJ31" s="180"/>
      <c r="AK31" s="149"/>
      <c r="AL31" s="149"/>
      <c r="AM31" s="149"/>
      <c r="AN31" s="149"/>
    </row>
    <row r="32" ht="17.25" customHeight="1">
      <c r="A32" s="121"/>
      <c r="B32" s="121"/>
      <c r="C32" s="149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79"/>
      <c r="AJ32" s="180"/>
      <c r="AK32" s="149"/>
      <c r="AL32" s="149"/>
      <c r="AM32" s="149"/>
      <c r="AN32" s="149"/>
    </row>
    <row r="33" ht="17.25" customHeight="1">
      <c r="A33" s="121"/>
      <c r="B33" s="121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149"/>
      <c r="AG33" s="149"/>
      <c r="AH33" s="149"/>
      <c r="AI33" s="179"/>
      <c r="AJ33" s="180"/>
      <c r="AK33" s="149"/>
      <c r="AL33" s="149"/>
      <c r="AM33" s="149"/>
      <c r="AN33" s="149"/>
    </row>
    <row r="34" ht="17.25" customHeight="1">
      <c r="A34" s="121"/>
      <c r="B34" s="121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  <c r="AC34" s="149"/>
      <c r="AD34" s="149"/>
      <c r="AE34" s="149"/>
      <c r="AF34" s="149"/>
      <c r="AG34" s="149"/>
      <c r="AH34" s="149"/>
      <c r="AI34" s="179"/>
      <c r="AJ34" s="180"/>
      <c r="AK34" s="149"/>
      <c r="AL34" s="149"/>
      <c r="AM34" s="149"/>
      <c r="AN34" s="149"/>
    </row>
    <row r="35" ht="17.25" customHeight="1">
      <c r="A35" s="121"/>
      <c r="B35" s="121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149"/>
      <c r="AE35" s="149"/>
      <c r="AF35" s="149"/>
      <c r="AG35" s="149"/>
      <c r="AH35" s="149"/>
      <c r="AI35" s="183"/>
      <c r="AJ35" s="183"/>
      <c r="AK35" s="149"/>
      <c r="AL35" s="149"/>
      <c r="AM35" s="149"/>
      <c r="AN35" s="149"/>
    </row>
    <row r="36" ht="17.25" customHeight="1">
      <c r="A36" s="121"/>
      <c r="B36" s="184" t="s">
        <v>53</v>
      </c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7"/>
      <c r="AH36" s="149"/>
      <c r="AI36" s="184" t="s">
        <v>54</v>
      </c>
      <c r="AJ36" s="46"/>
      <c r="AK36" s="46"/>
      <c r="AL36" s="46"/>
      <c r="AM36" s="47"/>
      <c r="AN36" s="149"/>
    </row>
    <row r="37" ht="17.25" customHeight="1">
      <c r="A37" s="121"/>
      <c r="B37" s="185" t="s">
        <v>55</v>
      </c>
      <c r="C37" s="186"/>
      <c r="D37" s="186"/>
      <c r="E37" s="186"/>
      <c r="F37" s="186"/>
      <c r="G37" s="186"/>
      <c r="H37" s="186"/>
      <c r="I37" s="186"/>
      <c r="J37" s="186"/>
      <c r="K37" s="186"/>
      <c r="L37" s="186"/>
      <c r="M37" s="186"/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  <c r="AA37" s="186"/>
      <c r="AB37" s="186"/>
      <c r="AC37" s="186"/>
      <c r="AD37" s="186"/>
      <c r="AE37" s="186"/>
      <c r="AF37" s="186"/>
      <c r="AG37" s="186"/>
      <c r="AH37" s="149"/>
      <c r="AI37" s="187" t="str">
        <f t="shared" ref="AI37:AI39" si="4">iferror(Average(C37:AG37), "")</f>
        <v/>
      </c>
      <c r="AJ37" s="46"/>
      <c r="AK37" s="46"/>
      <c r="AL37" s="46"/>
      <c r="AM37" s="47"/>
      <c r="AN37" s="149"/>
    </row>
    <row r="38" ht="17.25" customHeight="1">
      <c r="A38" s="121"/>
      <c r="B38" s="185" t="s">
        <v>56</v>
      </c>
      <c r="C38" s="188"/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88"/>
      <c r="P38" s="188"/>
      <c r="Q38" s="188"/>
      <c r="R38" s="188"/>
      <c r="S38" s="188"/>
      <c r="T38" s="188"/>
      <c r="U38" s="188"/>
      <c r="V38" s="188"/>
      <c r="W38" s="188"/>
      <c r="X38" s="188"/>
      <c r="Y38" s="188"/>
      <c r="Z38" s="188"/>
      <c r="AA38" s="188"/>
      <c r="AB38" s="188"/>
      <c r="AC38" s="188"/>
      <c r="AD38" s="188"/>
      <c r="AE38" s="188"/>
      <c r="AF38" s="188"/>
      <c r="AG38" s="188"/>
      <c r="AH38" s="149"/>
      <c r="AI38" s="187" t="str">
        <f t="shared" si="4"/>
        <v/>
      </c>
      <c r="AJ38" s="46"/>
      <c r="AK38" s="46"/>
      <c r="AL38" s="46"/>
      <c r="AM38" s="47"/>
      <c r="AN38" s="149"/>
    </row>
    <row r="39" ht="17.25" customHeight="1">
      <c r="A39" s="121"/>
      <c r="B39" s="185" t="s">
        <v>63</v>
      </c>
      <c r="C39" s="189"/>
      <c r="D39" s="189"/>
      <c r="E39" s="189"/>
      <c r="F39" s="189"/>
      <c r="G39" s="189"/>
      <c r="H39" s="189"/>
      <c r="I39" s="189"/>
      <c r="J39" s="189"/>
      <c r="K39" s="189"/>
      <c r="L39" s="189"/>
      <c r="M39" s="189"/>
      <c r="N39" s="189"/>
      <c r="O39" s="189"/>
      <c r="P39" s="189"/>
      <c r="Q39" s="189"/>
      <c r="R39" s="189"/>
      <c r="S39" s="189"/>
      <c r="T39" s="189"/>
      <c r="U39" s="189"/>
      <c r="V39" s="189"/>
      <c r="W39" s="189"/>
      <c r="X39" s="189"/>
      <c r="Y39" s="189"/>
      <c r="Z39" s="189"/>
      <c r="AA39" s="189"/>
      <c r="AB39" s="189"/>
      <c r="AC39" s="189"/>
      <c r="AD39" s="189"/>
      <c r="AE39" s="189"/>
      <c r="AF39" s="189"/>
      <c r="AG39" s="189"/>
      <c r="AH39" s="149"/>
      <c r="AI39" s="187" t="str">
        <f t="shared" si="4"/>
        <v/>
      </c>
      <c r="AJ39" s="46"/>
      <c r="AK39" s="46"/>
      <c r="AL39" s="46"/>
      <c r="AM39" s="47"/>
      <c r="AN39" s="149"/>
    </row>
    <row r="40" ht="17.25" customHeight="1">
      <c r="A40" s="121"/>
      <c r="B40" s="121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  <c r="AK40" s="149"/>
      <c r="AL40" s="149"/>
      <c r="AM40" s="149"/>
      <c r="AN40" s="149"/>
    </row>
    <row r="41" ht="17.25" customHeight="1">
      <c r="A41" s="121"/>
      <c r="B41" s="121"/>
      <c r="C41" s="149"/>
      <c r="D41" s="149"/>
      <c r="E41" s="149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  <c r="AB41" s="149"/>
      <c r="AC41" s="149"/>
      <c r="AD41" s="149"/>
      <c r="AE41" s="149"/>
      <c r="AF41" s="149"/>
      <c r="AG41" s="149"/>
      <c r="AH41" s="149"/>
      <c r="AI41" s="149"/>
      <c r="AJ41" s="149"/>
      <c r="AK41" s="149"/>
      <c r="AL41" s="149"/>
      <c r="AM41" s="149"/>
      <c r="AN41" s="149"/>
    </row>
    <row r="42" ht="17.25" customHeight="1">
      <c r="A42" s="121"/>
      <c r="B42" s="136" t="s">
        <v>58</v>
      </c>
      <c r="C42" s="190" t="s">
        <v>44</v>
      </c>
      <c r="D42" s="46"/>
      <c r="E42" s="46"/>
      <c r="F42" s="46"/>
      <c r="G42" s="46"/>
      <c r="H42" s="47"/>
      <c r="I42" s="151"/>
      <c r="J42" s="191" t="s">
        <v>45</v>
      </c>
      <c r="K42" s="46"/>
      <c r="L42" s="46"/>
      <c r="M42" s="46"/>
      <c r="N42" s="46"/>
      <c r="O42" s="47"/>
      <c r="P42" s="152"/>
      <c r="Q42" s="192" t="s">
        <v>46</v>
      </c>
      <c r="R42" s="46"/>
      <c r="S42" s="46"/>
      <c r="T42" s="46"/>
      <c r="U42" s="46"/>
      <c r="V42" s="47"/>
      <c r="W42" s="154"/>
      <c r="X42" s="193" t="s">
        <v>47</v>
      </c>
      <c r="Y42" s="46"/>
      <c r="Z42" s="46"/>
      <c r="AA42" s="46"/>
      <c r="AB42" s="46"/>
      <c r="AC42" s="47"/>
      <c r="AD42" s="153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</row>
    <row r="43" ht="17.25" customHeight="1">
      <c r="A43" s="121"/>
      <c r="B43" s="86"/>
      <c r="C43" s="194"/>
      <c r="D43" s="46"/>
      <c r="E43" s="46"/>
      <c r="F43" s="46"/>
      <c r="G43" s="46"/>
      <c r="H43" s="47"/>
      <c r="I43" s="195" t="b">
        <v>0</v>
      </c>
      <c r="J43" s="196"/>
      <c r="K43" s="46"/>
      <c r="L43" s="46"/>
      <c r="M43" s="46"/>
      <c r="N43" s="46"/>
      <c r="O43" s="47"/>
      <c r="P43" s="197" t="b">
        <v>0</v>
      </c>
      <c r="Q43" s="198"/>
      <c r="R43" s="46"/>
      <c r="S43" s="46"/>
      <c r="T43" s="46"/>
      <c r="U43" s="46"/>
      <c r="V43" s="47"/>
      <c r="W43" s="199" t="b">
        <v>0</v>
      </c>
      <c r="X43" s="200"/>
      <c r="Y43" s="46"/>
      <c r="Z43" s="46"/>
      <c r="AA43" s="46"/>
      <c r="AB43" s="46"/>
      <c r="AC43" s="47"/>
      <c r="AD43" s="201" t="b">
        <v>0</v>
      </c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</row>
    <row r="44" ht="17.25" customHeight="1">
      <c r="A44" s="121"/>
      <c r="B44" s="121"/>
      <c r="C44" s="194"/>
      <c r="D44" s="46"/>
      <c r="E44" s="46"/>
      <c r="F44" s="46"/>
      <c r="G44" s="46"/>
      <c r="H44" s="47"/>
      <c r="I44" s="195" t="b">
        <v>0</v>
      </c>
      <c r="J44" s="196"/>
      <c r="K44" s="46"/>
      <c r="L44" s="46"/>
      <c r="M44" s="46"/>
      <c r="N44" s="46"/>
      <c r="O44" s="47"/>
      <c r="P44" s="197" t="b">
        <v>0</v>
      </c>
      <c r="Q44" s="198"/>
      <c r="R44" s="46"/>
      <c r="S44" s="46"/>
      <c r="T44" s="46"/>
      <c r="U44" s="46"/>
      <c r="V44" s="47"/>
      <c r="W44" s="199" t="b">
        <v>0</v>
      </c>
      <c r="X44" s="200"/>
      <c r="Y44" s="46"/>
      <c r="Z44" s="46"/>
      <c r="AA44" s="46"/>
      <c r="AB44" s="46"/>
      <c r="AC44" s="47"/>
      <c r="AD44" s="201" t="b">
        <v>0</v>
      </c>
      <c r="AE44" s="121"/>
      <c r="AF44" s="121"/>
      <c r="AG44" s="202" t="s">
        <v>59</v>
      </c>
      <c r="AH44" s="121"/>
      <c r="AI44" s="121"/>
      <c r="AJ44" s="121"/>
      <c r="AK44" s="121"/>
      <c r="AL44" s="121"/>
      <c r="AM44" s="121"/>
      <c r="AN44" s="121"/>
    </row>
    <row r="45" ht="17.25" customHeight="1">
      <c r="A45" s="121"/>
      <c r="B45" s="121"/>
      <c r="C45" s="194"/>
      <c r="D45" s="46"/>
      <c r="E45" s="46"/>
      <c r="F45" s="46"/>
      <c r="G45" s="46"/>
      <c r="H45" s="47"/>
      <c r="I45" s="195" t="b">
        <v>0</v>
      </c>
      <c r="J45" s="196"/>
      <c r="K45" s="46"/>
      <c r="L45" s="46"/>
      <c r="M45" s="46"/>
      <c r="N45" s="46"/>
      <c r="O45" s="47"/>
      <c r="P45" s="197" t="b">
        <v>0</v>
      </c>
      <c r="Q45" s="198"/>
      <c r="R45" s="46"/>
      <c r="S45" s="46"/>
      <c r="T45" s="46"/>
      <c r="U45" s="46"/>
      <c r="V45" s="47"/>
      <c r="W45" s="199" t="b">
        <v>0</v>
      </c>
      <c r="X45" s="200"/>
      <c r="Y45" s="46"/>
      <c r="Z45" s="46"/>
      <c r="AA45" s="46"/>
      <c r="AB45" s="46"/>
      <c r="AC45" s="47"/>
      <c r="AD45" s="201" t="b">
        <v>0</v>
      </c>
      <c r="AE45" s="121"/>
      <c r="AF45" s="121"/>
      <c r="AG45" s="203">
        <v>11.0</v>
      </c>
      <c r="AH45" s="120"/>
      <c r="AI45" s="120"/>
      <c r="AJ45" s="120"/>
      <c r="AK45" s="120"/>
      <c r="AL45" s="120"/>
      <c r="AM45" s="120"/>
      <c r="AN45" s="120"/>
    </row>
    <row r="46" ht="17.25" customHeight="1">
      <c r="A46" s="121"/>
      <c r="B46" s="121"/>
      <c r="C46" s="194"/>
      <c r="D46" s="46"/>
      <c r="E46" s="46"/>
      <c r="F46" s="46"/>
      <c r="G46" s="46"/>
      <c r="H46" s="47"/>
      <c r="I46" s="195" t="b">
        <v>0</v>
      </c>
      <c r="J46" s="196"/>
      <c r="K46" s="46"/>
      <c r="L46" s="46"/>
      <c r="M46" s="46"/>
      <c r="N46" s="46"/>
      <c r="O46" s="47"/>
      <c r="P46" s="197" t="b">
        <v>0</v>
      </c>
      <c r="Q46" s="198"/>
      <c r="R46" s="46"/>
      <c r="S46" s="46"/>
      <c r="T46" s="46"/>
      <c r="U46" s="46"/>
      <c r="V46" s="47"/>
      <c r="W46" s="199" t="b">
        <v>0</v>
      </c>
      <c r="X46" s="200"/>
      <c r="Y46" s="46"/>
      <c r="Z46" s="46"/>
      <c r="AA46" s="46"/>
      <c r="AB46" s="46"/>
      <c r="AC46" s="47"/>
      <c r="AD46" s="201" t="b">
        <v>0</v>
      </c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</row>
    <row r="47" ht="17.25" customHeight="1">
      <c r="A47" s="121"/>
      <c r="B47" s="121"/>
      <c r="C47" s="194"/>
      <c r="D47" s="46"/>
      <c r="E47" s="46"/>
      <c r="F47" s="46"/>
      <c r="G47" s="46"/>
      <c r="H47" s="47"/>
      <c r="I47" s="195" t="b">
        <v>0</v>
      </c>
      <c r="J47" s="196"/>
      <c r="K47" s="46"/>
      <c r="L47" s="46"/>
      <c r="M47" s="46"/>
      <c r="N47" s="46"/>
      <c r="O47" s="47"/>
      <c r="P47" s="197" t="b">
        <v>0</v>
      </c>
      <c r="Q47" s="198"/>
      <c r="R47" s="46"/>
      <c r="S47" s="46"/>
      <c r="T47" s="46"/>
      <c r="U47" s="46"/>
      <c r="V47" s="47"/>
      <c r="W47" s="199" t="b">
        <v>0</v>
      </c>
      <c r="X47" s="200"/>
      <c r="Y47" s="46"/>
      <c r="Z47" s="46"/>
      <c r="AA47" s="46"/>
      <c r="AB47" s="46"/>
      <c r="AC47" s="47"/>
      <c r="AD47" s="201" t="b">
        <v>0</v>
      </c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</row>
    <row r="48" ht="17.25" customHeight="1">
      <c r="A48" s="121"/>
      <c r="B48" s="121"/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</row>
    <row r="49" ht="17.25" customHeight="1">
      <c r="A49" s="121"/>
      <c r="B49" s="136" t="s">
        <v>60</v>
      </c>
      <c r="C49" s="204"/>
      <c r="D49" s="50"/>
      <c r="E49" s="50"/>
      <c r="F49" s="50"/>
      <c r="G49" s="50"/>
      <c r="H49" s="50"/>
      <c r="I49" s="51"/>
      <c r="J49" s="204"/>
      <c r="K49" s="50"/>
      <c r="L49" s="50"/>
      <c r="M49" s="50"/>
      <c r="N49" s="50"/>
      <c r="O49" s="50"/>
      <c r="P49" s="51"/>
      <c r="Q49" s="204"/>
      <c r="R49" s="50"/>
      <c r="S49" s="50"/>
      <c r="T49" s="50"/>
      <c r="U49" s="50"/>
      <c r="V49" s="50"/>
      <c r="W49" s="51"/>
      <c r="X49" s="204"/>
      <c r="Y49" s="50"/>
      <c r="Z49" s="50"/>
      <c r="AA49" s="50"/>
      <c r="AB49" s="50"/>
      <c r="AC49" s="50"/>
      <c r="AD49" s="5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</row>
    <row r="50" ht="17.25" customHeight="1">
      <c r="A50" s="121"/>
      <c r="B50" s="205"/>
      <c r="C50" s="206"/>
      <c r="D50" s="55"/>
      <c r="E50" s="55"/>
      <c r="F50" s="55"/>
      <c r="G50" s="55"/>
      <c r="H50" s="55"/>
      <c r="I50" s="56"/>
      <c r="J50" s="206"/>
      <c r="K50" s="55"/>
      <c r="L50" s="55"/>
      <c r="M50" s="55"/>
      <c r="N50" s="55"/>
      <c r="O50" s="55"/>
      <c r="P50" s="56"/>
      <c r="Q50" s="206"/>
      <c r="R50" s="55"/>
      <c r="S50" s="55"/>
      <c r="T50" s="55"/>
      <c r="U50" s="55"/>
      <c r="V50" s="55"/>
      <c r="W50" s="56"/>
      <c r="X50" s="206"/>
      <c r="Y50" s="55"/>
      <c r="Z50" s="55"/>
      <c r="AA50" s="55"/>
      <c r="AB50" s="55"/>
      <c r="AC50" s="55"/>
      <c r="AD50" s="56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</row>
    <row r="51" ht="17.25" customHeight="1">
      <c r="A51" s="121"/>
      <c r="B51" s="86"/>
      <c r="C51" s="207"/>
      <c r="D51" s="60"/>
      <c r="E51" s="60"/>
      <c r="F51" s="60"/>
      <c r="G51" s="60"/>
      <c r="H51" s="60"/>
      <c r="I51" s="61"/>
      <c r="J51" s="207"/>
      <c r="K51" s="60"/>
      <c r="L51" s="60"/>
      <c r="M51" s="60"/>
      <c r="N51" s="60"/>
      <c r="O51" s="60"/>
      <c r="P51" s="61"/>
      <c r="Q51" s="207"/>
      <c r="R51" s="60"/>
      <c r="S51" s="60"/>
      <c r="T51" s="60"/>
      <c r="U51" s="60"/>
      <c r="V51" s="60"/>
      <c r="W51" s="61"/>
      <c r="X51" s="207"/>
      <c r="Y51" s="60"/>
      <c r="Z51" s="60"/>
      <c r="AA51" s="60"/>
      <c r="AB51" s="60"/>
      <c r="AC51" s="60"/>
      <c r="AD51" s="6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</row>
    <row r="52" ht="17.25" customHeight="1">
      <c r="A52" s="121"/>
      <c r="B52" s="121"/>
      <c r="C52" s="208"/>
      <c r="I52" s="170"/>
      <c r="J52" s="208"/>
      <c r="P52" s="170"/>
      <c r="Q52" s="208"/>
      <c r="W52" s="170"/>
      <c r="X52" s="208"/>
      <c r="AD52" s="170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</row>
    <row r="53" ht="17.25" customHeight="1">
      <c r="A53" s="121"/>
      <c r="B53" s="121"/>
      <c r="C53" s="121"/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</row>
    <row r="54" ht="17.25" customHeight="1">
      <c r="A54" s="121"/>
      <c r="B54" s="62" t="s">
        <v>61</v>
      </c>
      <c r="C54" s="209" t="s">
        <v>62</v>
      </c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7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</row>
    <row r="55" ht="17.25" customHeight="1">
      <c r="A55" s="121"/>
      <c r="B55" s="43"/>
      <c r="C55" s="210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7"/>
      <c r="P55" s="211" t="b">
        <v>0</v>
      </c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</row>
    <row r="56" ht="17.25" customHeight="1">
      <c r="A56" s="121"/>
      <c r="B56" s="212"/>
      <c r="C56" s="210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7"/>
      <c r="P56" s="211" t="b">
        <v>0</v>
      </c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</row>
    <row r="57" ht="17.25" customHeight="1">
      <c r="A57" s="121"/>
      <c r="B57" s="212"/>
      <c r="C57" s="210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7"/>
      <c r="P57" s="211" t="b">
        <v>0</v>
      </c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</row>
    <row r="58" ht="17.25" customHeight="1">
      <c r="A58" s="121"/>
      <c r="B58" s="212"/>
      <c r="C58" s="210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7"/>
      <c r="P58" s="211" t="b">
        <v>0</v>
      </c>
      <c r="Q58" s="121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  <c r="AL58" s="121"/>
      <c r="AM58" s="121"/>
      <c r="AN58" s="121"/>
    </row>
    <row r="59" ht="17.25" customHeight="1">
      <c r="A59" s="121"/>
      <c r="B59" s="212"/>
      <c r="C59" s="210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7"/>
      <c r="P59" s="211" t="b">
        <v>0</v>
      </c>
      <c r="Q59" s="121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1"/>
      <c r="AM59" s="121"/>
      <c r="AN59" s="121"/>
    </row>
    <row r="60" ht="17.25" customHeight="1">
      <c r="A60" s="121"/>
      <c r="B60" s="121"/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  <c r="AE60" s="121"/>
      <c r="AF60" s="121"/>
      <c r="AG60" s="121"/>
      <c r="AH60" s="121"/>
      <c r="AI60" s="121"/>
      <c r="AJ60" s="121"/>
      <c r="AK60" s="121"/>
      <c r="AL60" s="121"/>
      <c r="AM60" s="121"/>
      <c r="AN60" s="121"/>
    </row>
    <row r="61" ht="17.25" hidden="1" customHeight="1">
      <c r="A61" s="121"/>
      <c r="B61" s="121"/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1"/>
      <c r="AL61" s="121"/>
      <c r="AM61" s="121"/>
      <c r="AN61" s="121"/>
    </row>
    <row r="62" ht="17.25" hidden="1" customHeight="1">
      <c r="A62" s="121"/>
      <c r="B62" s="213">
        <f>COUNTIF($I$43:$I$47, true)</f>
        <v>0</v>
      </c>
      <c r="C62" s="214" t="str">
        <f t="array" ref="C62:H66">$C$43:$H$47</f>
        <v/>
      </c>
      <c r="D62" s="214"/>
      <c r="E62" s="214"/>
      <c r="F62" s="214"/>
      <c r="G62" s="214"/>
      <c r="H62" s="214"/>
      <c r="I62" s="213">
        <f t="array" ref="I62">COUNTA(UNIQUE($C$62:$C$140))</f>
        <v>0</v>
      </c>
      <c r="J62" s="215">
        <f>sum($B$62,$B$78,$B$110,$B$126)</f>
        <v>0</v>
      </c>
      <c r="K62" s="213">
        <f>sum(COUNTA($I$43:$I$47),COUNTA($P$43:$P$47),COUNTA($W$43:$W$47),COUNTA($AD$43:$AD$47),COUNTA($P$55:$P$59))</f>
        <v>25</v>
      </c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121"/>
      <c r="AK62" s="121"/>
      <c r="AL62" s="121"/>
      <c r="AM62" s="121"/>
      <c r="AN62" s="121"/>
    </row>
    <row r="63" ht="17.25" hidden="1" customHeight="1">
      <c r="A63" s="121"/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 s="121"/>
      <c r="AH63" s="121"/>
      <c r="AI63" s="121"/>
      <c r="AJ63" s="121"/>
      <c r="AK63" s="121"/>
      <c r="AL63" s="121"/>
      <c r="AM63" s="121"/>
      <c r="AN63" s="121"/>
    </row>
    <row r="64" ht="17.25" hidden="1" customHeight="1">
      <c r="A64" s="121"/>
      <c r="B64" s="214"/>
      <c r="C64" s="214"/>
      <c r="D64" s="214"/>
      <c r="E64" s="214"/>
      <c r="F64" s="214"/>
      <c r="G64" s="214"/>
      <c r="H64" s="214"/>
      <c r="I64" s="214"/>
      <c r="J64" s="214"/>
      <c r="K64" s="214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121"/>
      <c r="AK64" s="121"/>
      <c r="AL64" s="121"/>
      <c r="AM64" s="121"/>
      <c r="AN64" s="121"/>
    </row>
    <row r="65" ht="17.25" hidden="1" customHeight="1">
      <c r="A65" s="121"/>
      <c r="B65" s="214"/>
      <c r="C65" s="214"/>
      <c r="D65" s="214"/>
      <c r="E65" s="214"/>
      <c r="F65" s="214"/>
      <c r="G65" s="214"/>
      <c r="H65" s="214"/>
      <c r="I65" s="214"/>
      <c r="J65" s="214"/>
      <c r="K65" s="214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1"/>
      <c r="AI65" s="121"/>
      <c r="AJ65" s="121"/>
      <c r="AK65" s="121"/>
      <c r="AL65" s="121"/>
      <c r="AM65" s="121"/>
      <c r="AN65" s="121"/>
    </row>
    <row r="66" ht="17.25" hidden="1" customHeight="1">
      <c r="A66" s="121"/>
      <c r="B66" s="214"/>
      <c r="C66" s="214"/>
      <c r="D66" s="214"/>
      <c r="E66" s="214"/>
      <c r="F66" s="214"/>
      <c r="G66" s="214"/>
      <c r="H66" s="214"/>
      <c r="I66" s="214"/>
      <c r="J66" s="214"/>
      <c r="K66" s="214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  <c r="AA66" s="121"/>
      <c r="AB66" s="121"/>
      <c r="AC66" s="121"/>
      <c r="AD66" s="121"/>
      <c r="AE66" s="121"/>
      <c r="AF66" s="121"/>
      <c r="AG66" s="121"/>
      <c r="AH66" s="121"/>
      <c r="AI66" s="121"/>
      <c r="AJ66" s="121"/>
      <c r="AK66" s="121"/>
      <c r="AL66" s="121"/>
      <c r="AM66" s="121"/>
      <c r="AN66" s="121"/>
    </row>
    <row r="67" ht="17.25" hidden="1" customHeight="1">
      <c r="A67" s="121"/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1"/>
      <c r="AJ67" s="121"/>
      <c r="AK67" s="121"/>
      <c r="AL67" s="121"/>
      <c r="AM67" s="121"/>
      <c r="AN67" s="121"/>
    </row>
    <row r="68" ht="17.25" hidden="1" customHeight="1">
      <c r="A68" s="121"/>
      <c r="B68" s="214"/>
      <c r="C68" s="214"/>
      <c r="D68" s="214"/>
      <c r="E68" s="214"/>
      <c r="F68" s="214"/>
      <c r="G68" s="214"/>
      <c r="H68" s="214"/>
      <c r="I68" s="214"/>
      <c r="J68" s="214"/>
      <c r="K68" s="214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  <c r="AA68" s="121"/>
      <c r="AB68" s="121"/>
      <c r="AC68" s="121"/>
      <c r="AD68" s="121"/>
      <c r="AE68" s="121"/>
      <c r="AF68" s="121"/>
      <c r="AG68" s="121"/>
      <c r="AH68" s="121"/>
      <c r="AI68" s="121"/>
      <c r="AJ68" s="121"/>
      <c r="AK68" s="121"/>
      <c r="AL68" s="121"/>
      <c r="AM68" s="121"/>
      <c r="AN68" s="121"/>
    </row>
    <row r="69" ht="17.25" hidden="1" customHeight="1">
      <c r="A69" s="121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  <c r="AC69" s="121"/>
      <c r="AD69" s="121"/>
      <c r="AE69" s="121"/>
      <c r="AF69" s="121"/>
      <c r="AG69" s="121"/>
      <c r="AH69" s="121"/>
      <c r="AI69" s="121"/>
      <c r="AJ69" s="121"/>
      <c r="AK69" s="121"/>
      <c r="AL69" s="121"/>
      <c r="AM69" s="121"/>
      <c r="AN69" s="121"/>
    </row>
    <row r="70" ht="17.25" hidden="1" customHeight="1">
      <c r="A70" s="121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  <c r="AC70" s="121"/>
      <c r="AD70" s="121"/>
      <c r="AE70" s="121"/>
      <c r="AF70" s="121"/>
      <c r="AG70" s="121"/>
      <c r="AH70" s="121"/>
      <c r="AI70" s="121"/>
      <c r="AJ70" s="121"/>
      <c r="AK70" s="121"/>
      <c r="AL70" s="121"/>
      <c r="AM70" s="121"/>
      <c r="AN70" s="121"/>
    </row>
    <row r="71" ht="17.25" hidden="1" customHeight="1">
      <c r="A71" s="121"/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  <c r="AD71" s="121"/>
      <c r="AE71" s="121"/>
      <c r="AF71" s="121"/>
      <c r="AG71" s="121"/>
      <c r="AH71" s="121"/>
      <c r="AI71" s="121"/>
      <c r="AJ71" s="121"/>
      <c r="AK71" s="121"/>
      <c r="AL71" s="121"/>
      <c r="AM71" s="121"/>
      <c r="AN71" s="121"/>
    </row>
    <row r="72" ht="17.25" hidden="1" customHeight="1">
      <c r="A72" s="121"/>
      <c r="B72" s="214"/>
      <c r="C72" s="214"/>
      <c r="D72" s="214"/>
      <c r="E72" s="214"/>
      <c r="F72" s="214"/>
      <c r="G72" s="214"/>
      <c r="H72" s="214"/>
      <c r="I72" s="214"/>
      <c r="J72" s="214"/>
      <c r="K72" s="214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  <c r="AD72" s="121"/>
      <c r="AE72" s="121"/>
      <c r="AF72" s="121"/>
      <c r="AG72" s="121"/>
      <c r="AH72" s="121"/>
      <c r="AI72" s="121"/>
      <c r="AJ72" s="121"/>
      <c r="AK72" s="121"/>
      <c r="AL72" s="121"/>
      <c r="AM72" s="121"/>
      <c r="AN72" s="121"/>
    </row>
    <row r="73" ht="17.25" hidden="1" customHeight="1">
      <c r="A73" s="121"/>
      <c r="B73" s="214"/>
      <c r="C73" s="214"/>
      <c r="D73" s="214"/>
      <c r="E73" s="214"/>
      <c r="F73" s="214"/>
      <c r="G73" s="214"/>
      <c r="H73" s="214"/>
      <c r="I73" s="214"/>
      <c r="J73" s="214"/>
      <c r="K73" s="214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  <c r="AA73" s="121"/>
      <c r="AB73" s="121"/>
      <c r="AC73" s="121"/>
      <c r="AD73" s="121"/>
      <c r="AE73" s="121"/>
      <c r="AF73" s="121"/>
      <c r="AG73" s="121"/>
      <c r="AH73" s="121"/>
      <c r="AI73" s="121"/>
      <c r="AJ73" s="121"/>
      <c r="AK73" s="121"/>
      <c r="AL73" s="121"/>
      <c r="AM73" s="121"/>
      <c r="AN73" s="121"/>
    </row>
    <row r="74" ht="17.25" hidden="1" customHeight="1">
      <c r="A74" s="121"/>
      <c r="B74" s="214"/>
      <c r="C74" s="214"/>
      <c r="D74" s="214"/>
      <c r="E74" s="214"/>
      <c r="F74" s="214"/>
      <c r="G74" s="214"/>
      <c r="H74" s="214"/>
      <c r="I74" s="214"/>
      <c r="J74" s="214"/>
      <c r="K74" s="214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  <c r="AD74" s="121"/>
      <c r="AE74" s="121"/>
      <c r="AF74" s="121"/>
      <c r="AG74" s="121"/>
      <c r="AH74" s="121"/>
      <c r="AI74" s="121"/>
      <c r="AJ74" s="121"/>
      <c r="AK74" s="121"/>
      <c r="AL74" s="121"/>
      <c r="AM74" s="121"/>
      <c r="AN74" s="121"/>
    </row>
    <row r="75" ht="17.25" hidden="1" customHeight="1">
      <c r="A75" s="121"/>
      <c r="B75" s="214"/>
      <c r="C75" s="214"/>
      <c r="D75" s="214"/>
      <c r="E75" s="214"/>
      <c r="F75" s="214"/>
      <c r="G75" s="214"/>
      <c r="H75" s="214"/>
      <c r="I75" s="214"/>
      <c r="J75" s="214"/>
      <c r="K75" s="214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  <c r="AD75" s="121"/>
      <c r="AE75" s="121"/>
      <c r="AF75" s="121"/>
      <c r="AG75" s="121"/>
      <c r="AH75" s="121"/>
      <c r="AI75" s="121"/>
      <c r="AJ75" s="121"/>
      <c r="AK75" s="121"/>
      <c r="AL75" s="121"/>
      <c r="AM75" s="121"/>
      <c r="AN75" s="121"/>
    </row>
    <row r="76" ht="17.25" hidden="1" customHeight="1">
      <c r="A76" s="121"/>
      <c r="B76" s="214"/>
      <c r="C76" s="214"/>
      <c r="D76" s="214"/>
      <c r="E76" s="214"/>
      <c r="F76" s="214"/>
      <c r="G76" s="214"/>
      <c r="H76" s="214"/>
      <c r="I76" s="214"/>
      <c r="J76" s="214"/>
      <c r="K76" s="214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  <c r="AC76" s="121"/>
      <c r="AD76" s="121"/>
      <c r="AE76" s="121"/>
      <c r="AF76" s="121"/>
      <c r="AG76" s="121"/>
      <c r="AH76" s="121"/>
      <c r="AI76" s="121"/>
      <c r="AJ76" s="121"/>
      <c r="AK76" s="121"/>
      <c r="AL76" s="121"/>
      <c r="AM76" s="121"/>
      <c r="AN76" s="121"/>
    </row>
    <row r="77" ht="17.25" hidden="1" customHeight="1">
      <c r="A77" s="121"/>
      <c r="B77" s="214"/>
      <c r="C77" s="214"/>
      <c r="D77" s="214"/>
      <c r="E77" s="214"/>
      <c r="F77" s="214"/>
      <c r="G77" s="214"/>
      <c r="H77" s="214"/>
      <c r="I77" s="214"/>
      <c r="J77" s="214"/>
      <c r="K77" s="214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  <c r="AD77" s="121"/>
      <c r="AE77" s="121"/>
      <c r="AF77" s="121"/>
      <c r="AG77" s="121"/>
      <c r="AH77" s="121"/>
      <c r="AI77" s="121"/>
      <c r="AJ77" s="121"/>
      <c r="AK77" s="121"/>
      <c r="AL77" s="121"/>
      <c r="AM77" s="121"/>
      <c r="AN77" s="121"/>
    </row>
    <row r="78" ht="17.25" hidden="1" customHeight="1">
      <c r="A78" s="121"/>
      <c r="B78" s="213">
        <f>COUNTIF($P$43:$P$47, true)</f>
        <v>0</v>
      </c>
      <c r="C78" s="214" t="str">
        <f t="array" ref="C78:H82">$J$43:$O$47</f>
        <v/>
      </c>
      <c r="D78" s="214"/>
      <c r="E78" s="214"/>
      <c r="F78" s="214"/>
      <c r="G78" s="214"/>
      <c r="H78" s="214"/>
      <c r="I78" s="214"/>
      <c r="J78" s="214"/>
      <c r="K78" s="214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  <c r="AD78" s="121"/>
      <c r="AE78" s="121"/>
      <c r="AF78" s="121"/>
      <c r="AG78" s="121"/>
      <c r="AH78" s="121"/>
      <c r="AI78" s="121"/>
      <c r="AJ78" s="121"/>
      <c r="AK78" s="121"/>
      <c r="AL78" s="121"/>
      <c r="AM78" s="121"/>
      <c r="AN78" s="121"/>
    </row>
    <row r="79" ht="17.25" hidden="1" customHeight="1">
      <c r="A79" s="121"/>
      <c r="B79" s="214"/>
      <c r="C79" s="214"/>
      <c r="D79" s="214"/>
      <c r="E79" s="214"/>
      <c r="F79" s="214"/>
      <c r="G79" s="214"/>
      <c r="H79" s="214"/>
      <c r="I79" s="214"/>
      <c r="J79" s="214"/>
      <c r="K79" s="214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  <c r="AC79" s="121"/>
      <c r="AD79" s="121"/>
      <c r="AE79" s="121"/>
      <c r="AF79" s="121"/>
      <c r="AG79" s="121"/>
      <c r="AH79" s="121"/>
      <c r="AI79" s="121"/>
      <c r="AJ79" s="121"/>
      <c r="AK79" s="121"/>
      <c r="AL79" s="121"/>
      <c r="AM79" s="121"/>
      <c r="AN79" s="121"/>
    </row>
    <row r="80" ht="17.25" hidden="1" customHeight="1">
      <c r="A80" s="121"/>
      <c r="B80" s="214"/>
      <c r="C80" s="214"/>
      <c r="D80" s="214"/>
      <c r="E80" s="214"/>
      <c r="F80" s="214"/>
      <c r="G80" s="214"/>
      <c r="H80" s="214"/>
      <c r="I80" s="214"/>
      <c r="J80" s="214"/>
      <c r="K80" s="214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  <c r="AA80" s="121"/>
      <c r="AB80" s="121"/>
      <c r="AC80" s="121"/>
      <c r="AD80" s="121"/>
      <c r="AE80" s="121"/>
      <c r="AF80" s="121"/>
      <c r="AG80" s="121"/>
      <c r="AH80" s="121"/>
      <c r="AI80" s="121"/>
      <c r="AJ80" s="121"/>
      <c r="AK80" s="121"/>
      <c r="AL80" s="121"/>
      <c r="AM80" s="121"/>
      <c r="AN80" s="121"/>
    </row>
    <row r="81" ht="17.25" hidden="1" customHeight="1">
      <c r="A81" s="121"/>
      <c r="B81" s="214"/>
      <c r="C81" s="214"/>
      <c r="D81" s="214"/>
      <c r="E81" s="214"/>
      <c r="F81" s="214"/>
      <c r="G81" s="214"/>
      <c r="H81" s="214"/>
      <c r="I81" s="214"/>
      <c r="J81" s="214"/>
      <c r="K81" s="214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1"/>
      <c r="AG81" s="121"/>
      <c r="AH81" s="121"/>
      <c r="AI81" s="121"/>
      <c r="AJ81" s="121"/>
      <c r="AK81" s="121"/>
      <c r="AL81" s="121"/>
      <c r="AM81" s="121"/>
      <c r="AN81" s="121"/>
    </row>
    <row r="82" ht="17.25" hidden="1" customHeight="1">
      <c r="A82" s="121"/>
      <c r="B82" s="214"/>
      <c r="C82" s="214"/>
      <c r="D82" s="214"/>
      <c r="E82" s="214"/>
      <c r="F82" s="214"/>
      <c r="G82" s="214"/>
      <c r="H82" s="214"/>
      <c r="I82" s="214"/>
      <c r="J82" s="214"/>
      <c r="K82" s="214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</row>
    <row r="83" ht="17.25" hidden="1" customHeight="1">
      <c r="A83" s="121"/>
      <c r="B83" s="214"/>
      <c r="C83" s="214"/>
      <c r="D83" s="214"/>
      <c r="E83" s="214"/>
      <c r="F83" s="214"/>
      <c r="G83" s="214"/>
      <c r="H83" s="214"/>
      <c r="I83" s="214"/>
      <c r="J83" s="214"/>
      <c r="K83" s="214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</row>
    <row r="84" ht="17.25" hidden="1" customHeight="1">
      <c r="A84" s="121"/>
      <c r="B84" s="214"/>
      <c r="C84" s="214"/>
      <c r="D84" s="214"/>
      <c r="E84" s="214"/>
      <c r="F84" s="214"/>
      <c r="G84" s="214"/>
      <c r="H84" s="214"/>
      <c r="I84" s="214"/>
      <c r="J84" s="214"/>
      <c r="K84" s="214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1"/>
      <c r="AE84" s="121"/>
      <c r="AF84" s="121"/>
      <c r="AG84" s="121"/>
      <c r="AH84" s="121"/>
      <c r="AI84" s="121"/>
      <c r="AJ84" s="121"/>
      <c r="AK84" s="121"/>
      <c r="AL84" s="121"/>
      <c r="AM84" s="121"/>
      <c r="AN84" s="121"/>
    </row>
    <row r="85" ht="17.25" hidden="1" customHeight="1">
      <c r="A85" s="121"/>
      <c r="B85" s="214"/>
      <c r="C85" s="214"/>
      <c r="D85" s="214"/>
      <c r="E85" s="214"/>
      <c r="F85" s="214"/>
      <c r="G85" s="214"/>
      <c r="H85" s="214"/>
      <c r="I85" s="214"/>
      <c r="J85" s="214"/>
      <c r="K85" s="214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1"/>
      <c r="AL85" s="121"/>
      <c r="AM85" s="121"/>
      <c r="AN85" s="121"/>
    </row>
    <row r="86" ht="17.25" hidden="1" customHeight="1">
      <c r="A86" s="121"/>
      <c r="B86" s="214"/>
      <c r="C86" s="214"/>
      <c r="D86" s="214"/>
      <c r="E86" s="214"/>
      <c r="F86" s="214"/>
      <c r="G86" s="214"/>
      <c r="H86" s="214"/>
      <c r="I86" s="214"/>
      <c r="J86" s="214"/>
      <c r="K86" s="214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</row>
    <row r="87" ht="17.25" hidden="1" customHeight="1">
      <c r="A87" s="121"/>
      <c r="B87" s="214"/>
      <c r="C87" s="214"/>
      <c r="D87" s="214"/>
      <c r="E87" s="214"/>
      <c r="F87" s="214"/>
      <c r="G87" s="214"/>
      <c r="H87" s="214"/>
      <c r="I87" s="214"/>
      <c r="J87" s="214"/>
      <c r="K87" s="214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</row>
    <row r="88" ht="17.25" hidden="1" customHeight="1">
      <c r="A88" s="121"/>
      <c r="B88" s="214"/>
      <c r="C88" s="214"/>
      <c r="D88" s="214"/>
      <c r="E88" s="214"/>
      <c r="F88" s="214"/>
      <c r="G88" s="214"/>
      <c r="H88" s="214"/>
      <c r="I88" s="214"/>
      <c r="J88" s="214"/>
      <c r="K88" s="214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</row>
    <row r="89" ht="17.25" hidden="1" customHeight="1">
      <c r="A89" s="121"/>
      <c r="B89" s="214"/>
      <c r="C89" s="214"/>
      <c r="D89" s="214"/>
      <c r="E89" s="214"/>
      <c r="F89" s="214"/>
      <c r="G89" s="214"/>
      <c r="H89" s="214"/>
      <c r="I89" s="214"/>
      <c r="J89" s="214"/>
      <c r="K89" s="214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</row>
    <row r="90" ht="17.25" hidden="1" customHeight="1">
      <c r="A90" s="121"/>
      <c r="B90" s="214"/>
      <c r="C90" s="214"/>
      <c r="D90" s="214"/>
      <c r="E90" s="214"/>
      <c r="F90" s="214"/>
      <c r="G90" s="214"/>
      <c r="H90" s="214"/>
      <c r="I90" s="214"/>
      <c r="J90" s="214"/>
      <c r="K90" s="214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</row>
    <row r="91" ht="17.25" hidden="1" customHeight="1">
      <c r="A91" s="121"/>
      <c r="B91" s="214"/>
      <c r="C91" s="214"/>
      <c r="D91" s="214"/>
      <c r="E91" s="214"/>
      <c r="F91" s="214"/>
      <c r="G91" s="214"/>
      <c r="H91" s="214"/>
      <c r="I91" s="214"/>
      <c r="J91" s="214"/>
      <c r="K91" s="214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</row>
    <row r="92" ht="17.25" hidden="1" customHeight="1">
      <c r="A92" s="121"/>
      <c r="B92" s="214"/>
      <c r="C92" s="214"/>
      <c r="D92" s="214"/>
      <c r="E92" s="214"/>
      <c r="F92" s="214"/>
      <c r="G92" s="214"/>
      <c r="H92" s="214"/>
      <c r="I92" s="214"/>
      <c r="J92" s="214"/>
      <c r="K92" s="214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</row>
    <row r="93" ht="17.25" hidden="1" customHeight="1">
      <c r="A93" s="121"/>
      <c r="B93" s="214"/>
      <c r="C93" s="214"/>
      <c r="D93" s="214"/>
      <c r="E93" s="214"/>
      <c r="F93" s="214"/>
      <c r="G93" s="214"/>
      <c r="H93" s="214"/>
      <c r="I93" s="214"/>
      <c r="J93" s="214"/>
      <c r="K93" s="214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</row>
    <row r="94" ht="17.25" hidden="1" customHeight="1">
      <c r="A94" s="121"/>
      <c r="B94" s="213">
        <f>COUNTIF($W$43:$W$47, true)</f>
        <v>0</v>
      </c>
      <c r="C94" s="214" t="str">
        <f t="array" ref="C94:H98">$Q$43:$V$47</f>
        <v/>
      </c>
      <c r="D94" s="214"/>
      <c r="E94" s="214"/>
      <c r="F94" s="214"/>
      <c r="G94" s="214"/>
      <c r="H94" s="214"/>
      <c r="I94" s="214"/>
      <c r="J94" s="214"/>
      <c r="K94" s="214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</row>
    <row r="95" ht="17.25" hidden="1" customHeight="1">
      <c r="A95" s="121"/>
      <c r="B95" s="214"/>
      <c r="C95" s="214"/>
      <c r="D95" s="214"/>
      <c r="E95" s="214"/>
      <c r="F95" s="214"/>
      <c r="G95" s="214"/>
      <c r="H95" s="214"/>
      <c r="I95" s="214"/>
      <c r="J95" s="214"/>
      <c r="K95" s="214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</row>
    <row r="96" ht="17.25" hidden="1" customHeight="1">
      <c r="A96" s="121"/>
      <c r="B96" s="214"/>
      <c r="C96" s="214"/>
      <c r="D96" s="214"/>
      <c r="E96" s="214"/>
      <c r="F96" s="214"/>
      <c r="G96" s="214"/>
      <c r="H96" s="214"/>
      <c r="I96" s="214"/>
      <c r="J96" s="214"/>
      <c r="K96" s="214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1"/>
      <c r="AH96" s="121"/>
      <c r="AI96" s="121"/>
      <c r="AJ96" s="121"/>
      <c r="AK96" s="121"/>
      <c r="AL96" s="121"/>
      <c r="AM96" s="121"/>
      <c r="AN96" s="121"/>
    </row>
    <row r="97" ht="17.25" hidden="1" customHeight="1">
      <c r="A97" s="121"/>
      <c r="B97" s="214"/>
      <c r="C97" s="214"/>
      <c r="D97" s="214"/>
      <c r="E97" s="214"/>
      <c r="F97" s="214"/>
      <c r="G97" s="214"/>
      <c r="H97" s="214"/>
      <c r="I97" s="214"/>
      <c r="J97" s="214"/>
      <c r="K97" s="214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  <c r="AA97" s="121"/>
      <c r="AB97" s="121"/>
      <c r="AC97" s="121"/>
      <c r="AD97" s="121"/>
      <c r="AE97" s="121"/>
      <c r="AF97" s="121"/>
      <c r="AG97" s="121"/>
      <c r="AH97" s="121"/>
      <c r="AI97" s="121"/>
      <c r="AJ97" s="121"/>
      <c r="AK97" s="121"/>
      <c r="AL97" s="121"/>
      <c r="AM97" s="121"/>
      <c r="AN97" s="121"/>
    </row>
    <row r="98" ht="17.25" hidden="1" customHeight="1">
      <c r="A98" s="121"/>
      <c r="B98" s="214"/>
      <c r="C98" s="214"/>
      <c r="D98" s="214"/>
      <c r="E98" s="214"/>
      <c r="F98" s="214"/>
      <c r="G98" s="214"/>
      <c r="H98" s="214"/>
      <c r="I98" s="214"/>
      <c r="J98" s="214"/>
      <c r="K98" s="214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1"/>
      <c r="AH98" s="121"/>
      <c r="AI98" s="121"/>
      <c r="AJ98" s="121"/>
      <c r="AK98" s="121"/>
      <c r="AL98" s="121"/>
      <c r="AM98" s="121"/>
      <c r="AN98" s="121"/>
    </row>
    <row r="99" ht="17.25" hidden="1" customHeight="1">
      <c r="A99" s="121"/>
      <c r="B99" s="214"/>
      <c r="C99" s="214"/>
      <c r="D99" s="214"/>
      <c r="E99" s="214"/>
      <c r="F99" s="214"/>
      <c r="G99" s="214"/>
      <c r="H99" s="214"/>
      <c r="I99" s="214"/>
      <c r="J99" s="214"/>
      <c r="K99" s="214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  <c r="AA99" s="121"/>
      <c r="AB99" s="121"/>
      <c r="AC99" s="121"/>
      <c r="AD99" s="121"/>
      <c r="AE99" s="121"/>
      <c r="AF99" s="121"/>
      <c r="AG99" s="121"/>
      <c r="AH99" s="121"/>
      <c r="AI99" s="121"/>
      <c r="AJ99" s="121"/>
      <c r="AK99" s="121"/>
      <c r="AL99" s="121"/>
      <c r="AM99" s="121"/>
      <c r="AN99" s="121"/>
    </row>
    <row r="100" ht="17.25" hidden="1" customHeight="1">
      <c r="A100" s="121"/>
      <c r="B100" s="214"/>
      <c r="C100" s="214"/>
      <c r="D100" s="214"/>
      <c r="E100" s="214"/>
      <c r="F100" s="214"/>
      <c r="G100" s="214"/>
      <c r="H100" s="214"/>
      <c r="I100" s="214"/>
      <c r="J100" s="214"/>
      <c r="K100" s="214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  <c r="AA100" s="121"/>
      <c r="AB100" s="121"/>
      <c r="AC100" s="121"/>
      <c r="AD100" s="121"/>
      <c r="AE100" s="121"/>
      <c r="AF100" s="121"/>
      <c r="AG100" s="121"/>
      <c r="AH100" s="121"/>
      <c r="AI100" s="121"/>
      <c r="AJ100" s="121"/>
      <c r="AK100" s="121"/>
      <c r="AL100" s="121"/>
      <c r="AM100" s="121"/>
      <c r="AN100" s="121"/>
    </row>
    <row r="101" ht="17.25" hidden="1" customHeight="1">
      <c r="A101" s="121"/>
      <c r="B101" s="214"/>
      <c r="C101" s="214"/>
      <c r="D101" s="214"/>
      <c r="E101" s="214"/>
      <c r="F101" s="214"/>
      <c r="G101" s="214"/>
      <c r="H101" s="214"/>
      <c r="I101" s="214"/>
      <c r="J101" s="214"/>
      <c r="K101" s="214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  <c r="AA101" s="121"/>
      <c r="AB101" s="121"/>
      <c r="AC101" s="121"/>
      <c r="AD101" s="121"/>
      <c r="AE101" s="121"/>
      <c r="AF101" s="121"/>
      <c r="AG101" s="121"/>
      <c r="AH101" s="121"/>
      <c r="AI101" s="121"/>
      <c r="AJ101" s="121"/>
      <c r="AK101" s="121"/>
      <c r="AL101" s="121"/>
      <c r="AM101" s="121"/>
      <c r="AN101" s="121"/>
    </row>
    <row r="102" ht="17.25" hidden="1" customHeight="1">
      <c r="A102" s="121"/>
      <c r="B102" s="214"/>
      <c r="C102" s="214"/>
      <c r="D102" s="214"/>
      <c r="E102" s="214"/>
      <c r="F102" s="214"/>
      <c r="G102" s="214"/>
      <c r="H102" s="214"/>
      <c r="I102" s="214"/>
      <c r="J102" s="214"/>
      <c r="K102" s="214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  <c r="AA102" s="121"/>
      <c r="AB102" s="121"/>
      <c r="AC102" s="121"/>
      <c r="AD102" s="121"/>
      <c r="AE102" s="121"/>
      <c r="AF102" s="121"/>
      <c r="AG102" s="121"/>
      <c r="AH102" s="121"/>
      <c r="AI102" s="121"/>
      <c r="AJ102" s="121"/>
      <c r="AK102" s="121"/>
      <c r="AL102" s="121"/>
      <c r="AM102" s="121"/>
      <c r="AN102" s="121"/>
    </row>
    <row r="103" ht="17.25" hidden="1" customHeight="1">
      <c r="A103" s="121"/>
      <c r="B103" s="214"/>
      <c r="C103" s="214"/>
      <c r="D103" s="214"/>
      <c r="E103" s="214"/>
      <c r="F103" s="214"/>
      <c r="G103" s="214"/>
      <c r="H103" s="214"/>
      <c r="I103" s="214"/>
      <c r="J103" s="214"/>
      <c r="K103" s="214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  <c r="AA103" s="121"/>
      <c r="AB103" s="121"/>
      <c r="AC103" s="121"/>
      <c r="AD103" s="121"/>
      <c r="AE103" s="121"/>
      <c r="AF103" s="121"/>
      <c r="AG103" s="121"/>
      <c r="AH103" s="121"/>
      <c r="AI103" s="121"/>
      <c r="AJ103" s="121"/>
      <c r="AK103" s="121"/>
      <c r="AL103" s="121"/>
      <c r="AM103" s="121"/>
      <c r="AN103" s="121"/>
    </row>
    <row r="104" ht="17.25" hidden="1" customHeight="1">
      <c r="A104" s="121"/>
      <c r="B104" s="214"/>
      <c r="C104" s="214"/>
      <c r="D104" s="214"/>
      <c r="E104" s="214"/>
      <c r="F104" s="214"/>
      <c r="G104" s="214"/>
      <c r="H104" s="214"/>
      <c r="I104" s="214"/>
      <c r="J104" s="214"/>
      <c r="K104" s="214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  <c r="AA104" s="121"/>
      <c r="AB104" s="121"/>
      <c r="AC104" s="121"/>
      <c r="AD104" s="121"/>
      <c r="AE104" s="121"/>
      <c r="AF104" s="121"/>
      <c r="AG104" s="121"/>
      <c r="AH104" s="121"/>
      <c r="AI104" s="121"/>
      <c r="AJ104" s="121"/>
      <c r="AK104" s="121"/>
      <c r="AL104" s="121"/>
      <c r="AM104" s="121"/>
      <c r="AN104" s="121"/>
    </row>
    <row r="105" ht="17.25" hidden="1" customHeight="1">
      <c r="A105" s="121"/>
      <c r="B105" s="214"/>
      <c r="C105" s="214"/>
      <c r="D105" s="214"/>
      <c r="E105" s="214"/>
      <c r="F105" s="214"/>
      <c r="G105" s="214"/>
      <c r="H105" s="214"/>
      <c r="I105" s="214"/>
      <c r="J105" s="214"/>
      <c r="K105" s="214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  <c r="AA105" s="121"/>
      <c r="AB105" s="121"/>
      <c r="AC105" s="121"/>
      <c r="AD105" s="121"/>
      <c r="AE105" s="121"/>
      <c r="AF105" s="121"/>
      <c r="AG105" s="121"/>
      <c r="AH105" s="121"/>
      <c r="AI105" s="121"/>
      <c r="AJ105" s="121"/>
      <c r="AK105" s="121"/>
      <c r="AL105" s="121"/>
      <c r="AM105" s="121"/>
      <c r="AN105" s="121"/>
    </row>
    <row r="106" ht="17.25" hidden="1" customHeight="1">
      <c r="A106" s="121"/>
      <c r="B106" s="214"/>
      <c r="C106" s="214"/>
      <c r="D106" s="214"/>
      <c r="E106" s="214"/>
      <c r="F106" s="214"/>
      <c r="G106" s="214"/>
      <c r="H106" s="214"/>
      <c r="I106" s="214"/>
      <c r="J106" s="214"/>
      <c r="K106" s="214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  <c r="AA106" s="121"/>
      <c r="AB106" s="121"/>
      <c r="AC106" s="121"/>
      <c r="AD106" s="121"/>
      <c r="AE106" s="121"/>
      <c r="AF106" s="121"/>
      <c r="AG106" s="121"/>
      <c r="AH106" s="121"/>
      <c r="AI106" s="121"/>
      <c r="AJ106" s="121"/>
      <c r="AK106" s="121"/>
      <c r="AL106" s="121"/>
      <c r="AM106" s="121"/>
      <c r="AN106" s="121"/>
    </row>
    <row r="107" ht="17.25" hidden="1" customHeight="1">
      <c r="A107" s="121"/>
      <c r="B107" s="214"/>
      <c r="C107" s="214"/>
      <c r="D107" s="214"/>
      <c r="E107" s="214"/>
      <c r="F107" s="214"/>
      <c r="G107" s="214"/>
      <c r="H107" s="214"/>
      <c r="I107" s="214"/>
      <c r="J107" s="214"/>
      <c r="K107" s="214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  <c r="AA107" s="121"/>
      <c r="AB107" s="121"/>
      <c r="AC107" s="121"/>
      <c r="AD107" s="121"/>
      <c r="AE107" s="121"/>
      <c r="AF107" s="121"/>
      <c r="AG107" s="121"/>
      <c r="AH107" s="121"/>
      <c r="AI107" s="121"/>
      <c r="AJ107" s="121"/>
      <c r="AK107" s="121"/>
      <c r="AL107" s="121"/>
      <c r="AM107" s="121"/>
      <c r="AN107" s="121"/>
    </row>
    <row r="108" ht="17.25" hidden="1" customHeight="1">
      <c r="A108" s="121"/>
      <c r="B108" s="214"/>
      <c r="C108" s="214"/>
      <c r="D108" s="214"/>
      <c r="E108" s="214"/>
      <c r="F108" s="214"/>
      <c r="G108" s="214"/>
      <c r="H108" s="214"/>
      <c r="I108" s="214"/>
      <c r="J108" s="214"/>
      <c r="K108" s="214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  <c r="AA108" s="121"/>
      <c r="AB108" s="121"/>
      <c r="AC108" s="121"/>
      <c r="AD108" s="121"/>
      <c r="AE108" s="121"/>
      <c r="AF108" s="121"/>
      <c r="AG108" s="121"/>
      <c r="AH108" s="121"/>
      <c r="AI108" s="121"/>
      <c r="AJ108" s="121"/>
      <c r="AK108" s="121"/>
      <c r="AL108" s="121"/>
      <c r="AM108" s="121"/>
      <c r="AN108" s="121"/>
    </row>
    <row r="109" ht="17.25" hidden="1" customHeight="1">
      <c r="A109" s="121"/>
      <c r="B109" s="214"/>
      <c r="C109" s="214"/>
      <c r="D109" s="214"/>
      <c r="E109" s="214"/>
      <c r="F109" s="214"/>
      <c r="G109" s="214"/>
      <c r="H109" s="214"/>
      <c r="I109" s="214"/>
      <c r="J109" s="214"/>
      <c r="K109" s="214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  <c r="AA109" s="121"/>
      <c r="AB109" s="121"/>
      <c r="AC109" s="121"/>
      <c r="AD109" s="121"/>
      <c r="AE109" s="121"/>
      <c r="AF109" s="121"/>
      <c r="AG109" s="121"/>
      <c r="AH109" s="121"/>
      <c r="AI109" s="121"/>
      <c r="AJ109" s="121"/>
      <c r="AK109" s="121"/>
      <c r="AL109" s="121"/>
      <c r="AM109" s="121"/>
      <c r="AN109" s="121"/>
    </row>
    <row r="110" ht="17.25" hidden="1" customHeight="1">
      <c r="A110" s="121"/>
      <c r="B110" s="213">
        <f>COUNTIF($AD$43:$AD$47, true)</f>
        <v>0</v>
      </c>
      <c r="C110" s="214" t="str">
        <f t="array" ref="C110:H114">$X$43:$AC$47</f>
        <v/>
      </c>
      <c r="D110" s="214"/>
      <c r="E110" s="214"/>
      <c r="F110" s="214"/>
      <c r="G110" s="214"/>
      <c r="H110" s="214"/>
      <c r="I110" s="214"/>
      <c r="J110" s="214"/>
      <c r="K110" s="214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121"/>
      <c r="AK110" s="121"/>
      <c r="AL110" s="121"/>
      <c r="AM110" s="121"/>
      <c r="AN110" s="121"/>
    </row>
    <row r="111" ht="17.25" hidden="1" customHeight="1">
      <c r="A111" s="121"/>
      <c r="B111" s="214"/>
      <c r="C111" s="214"/>
      <c r="D111" s="214"/>
      <c r="E111" s="214"/>
      <c r="F111" s="214"/>
      <c r="G111" s="214"/>
      <c r="H111" s="214"/>
      <c r="I111" s="214"/>
      <c r="J111" s="214"/>
      <c r="K111" s="214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  <c r="AA111" s="121"/>
      <c r="AB111" s="121"/>
      <c r="AC111" s="121"/>
      <c r="AD111" s="121"/>
      <c r="AE111" s="121"/>
      <c r="AF111" s="121"/>
      <c r="AG111" s="121"/>
      <c r="AH111" s="121"/>
      <c r="AI111" s="121"/>
      <c r="AJ111" s="121"/>
      <c r="AK111" s="121"/>
      <c r="AL111" s="121"/>
      <c r="AM111" s="121"/>
      <c r="AN111" s="121"/>
    </row>
    <row r="112" ht="17.25" hidden="1" customHeight="1">
      <c r="A112" s="121"/>
      <c r="B112" s="214"/>
      <c r="C112" s="214"/>
      <c r="D112" s="214"/>
      <c r="E112" s="214"/>
      <c r="F112" s="214"/>
      <c r="G112" s="214"/>
      <c r="H112" s="214"/>
      <c r="I112" s="214"/>
      <c r="J112" s="214"/>
      <c r="K112" s="214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  <c r="AA112" s="121"/>
      <c r="AB112" s="121"/>
      <c r="AC112" s="121"/>
      <c r="AD112" s="121"/>
      <c r="AE112" s="121"/>
      <c r="AF112" s="121"/>
      <c r="AG112" s="121"/>
      <c r="AH112" s="121"/>
      <c r="AI112" s="121"/>
      <c r="AJ112" s="121"/>
      <c r="AK112" s="121"/>
      <c r="AL112" s="121"/>
      <c r="AM112" s="121"/>
      <c r="AN112" s="121"/>
    </row>
    <row r="113" ht="17.25" hidden="1" customHeight="1">
      <c r="A113" s="121"/>
      <c r="B113" s="214"/>
      <c r="C113" s="214"/>
      <c r="D113" s="214"/>
      <c r="E113" s="214"/>
      <c r="F113" s="214"/>
      <c r="G113" s="214"/>
      <c r="H113" s="214"/>
      <c r="I113" s="214"/>
      <c r="J113" s="214"/>
      <c r="K113" s="214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  <c r="AA113" s="121"/>
      <c r="AB113" s="121"/>
      <c r="AC113" s="121"/>
      <c r="AD113" s="121"/>
      <c r="AE113" s="121"/>
      <c r="AF113" s="121"/>
      <c r="AG113" s="121"/>
      <c r="AH113" s="121"/>
      <c r="AI113" s="121"/>
      <c r="AJ113" s="121"/>
      <c r="AK113" s="121"/>
      <c r="AL113" s="121"/>
      <c r="AM113" s="121"/>
      <c r="AN113" s="121"/>
    </row>
    <row r="114" ht="17.25" hidden="1" customHeight="1">
      <c r="A114" s="121"/>
      <c r="B114" s="214"/>
      <c r="C114" s="214"/>
      <c r="D114" s="214"/>
      <c r="E114" s="214"/>
      <c r="F114" s="214"/>
      <c r="G114" s="214"/>
      <c r="H114" s="214"/>
      <c r="I114" s="214"/>
      <c r="J114" s="214"/>
      <c r="K114" s="214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  <c r="AA114" s="121"/>
      <c r="AB114" s="121"/>
      <c r="AC114" s="121"/>
      <c r="AD114" s="121"/>
      <c r="AE114" s="121"/>
      <c r="AF114" s="121"/>
      <c r="AG114" s="121"/>
      <c r="AH114" s="121"/>
      <c r="AI114" s="121"/>
      <c r="AJ114" s="121"/>
      <c r="AK114" s="121"/>
      <c r="AL114" s="121"/>
      <c r="AM114" s="121"/>
      <c r="AN114" s="121"/>
    </row>
    <row r="115" ht="17.25" hidden="1" customHeight="1">
      <c r="A115" s="121"/>
      <c r="B115" s="214"/>
      <c r="C115" s="214"/>
      <c r="D115" s="214"/>
      <c r="E115" s="214"/>
      <c r="F115" s="214"/>
      <c r="G115" s="214"/>
      <c r="H115" s="214"/>
      <c r="I115" s="214"/>
      <c r="J115" s="214"/>
      <c r="K115" s="214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  <c r="AA115" s="121"/>
      <c r="AB115" s="121"/>
      <c r="AC115" s="121"/>
      <c r="AD115" s="121"/>
      <c r="AE115" s="121"/>
      <c r="AF115" s="121"/>
      <c r="AG115" s="121"/>
      <c r="AH115" s="121"/>
      <c r="AI115" s="121"/>
      <c r="AJ115" s="121"/>
      <c r="AK115" s="121"/>
      <c r="AL115" s="121"/>
      <c r="AM115" s="121"/>
      <c r="AN115" s="121"/>
    </row>
    <row r="116" ht="17.25" hidden="1" customHeight="1">
      <c r="A116" s="121"/>
      <c r="B116" s="214"/>
      <c r="C116" s="214"/>
      <c r="D116" s="214"/>
      <c r="E116" s="214"/>
      <c r="F116" s="214"/>
      <c r="G116" s="214"/>
      <c r="H116" s="214"/>
      <c r="I116" s="214"/>
      <c r="J116" s="214"/>
      <c r="K116" s="214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  <c r="AA116" s="121"/>
      <c r="AB116" s="121"/>
      <c r="AC116" s="121"/>
      <c r="AD116" s="121"/>
      <c r="AE116" s="121"/>
      <c r="AF116" s="121"/>
      <c r="AG116" s="121"/>
      <c r="AH116" s="121"/>
      <c r="AI116" s="121"/>
      <c r="AJ116" s="121"/>
      <c r="AK116" s="121"/>
      <c r="AL116" s="121"/>
      <c r="AM116" s="121"/>
      <c r="AN116" s="121"/>
    </row>
    <row r="117" ht="17.25" hidden="1" customHeight="1">
      <c r="A117" s="121"/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121"/>
      <c r="AF117" s="121"/>
      <c r="AG117" s="121"/>
      <c r="AH117" s="121"/>
      <c r="AI117" s="121"/>
      <c r="AJ117" s="121"/>
      <c r="AK117" s="121"/>
      <c r="AL117" s="121"/>
      <c r="AM117" s="121"/>
      <c r="AN117" s="121"/>
    </row>
    <row r="118" ht="17.25" hidden="1" customHeight="1">
      <c r="A118" s="121"/>
      <c r="B118" s="214"/>
      <c r="C118" s="214"/>
      <c r="D118" s="214"/>
      <c r="E118" s="214"/>
      <c r="F118" s="214"/>
      <c r="G118" s="214"/>
      <c r="H118" s="214"/>
      <c r="I118" s="214"/>
      <c r="J118" s="214"/>
      <c r="K118" s="214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  <c r="AA118" s="121"/>
      <c r="AB118" s="121"/>
      <c r="AC118" s="121"/>
      <c r="AD118" s="121"/>
      <c r="AE118" s="121"/>
      <c r="AF118" s="121"/>
      <c r="AG118" s="121"/>
      <c r="AH118" s="121"/>
      <c r="AI118" s="121"/>
      <c r="AJ118" s="121"/>
      <c r="AK118" s="121"/>
      <c r="AL118" s="121"/>
      <c r="AM118" s="121"/>
      <c r="AN118" s="121"/>
    </row>
    <row r="119" ht="17.25" hidden="1" customHeight="1">
      <c r="A119" s="121"/>
      <c r="B119" s="214"/>
      <c r="C119" s="214"/>
      <c r="D119" s="214"/>
      <c r="E119" s="214"/>
      <c r="F119" s="214"/>
      <c r="G119" s="214"/>
      <c r="H119" s="214"/>
      <c r="I119" s="214"/>
      <c r="J119" s="214"/>
      <c r="K119" s="214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  <c r="AA119" s="121"/>
      <c r="AB119" s="121"/>
      <c r="AC119" s="121"/>
      <c r="AD119" s="121"/>
      <c r="AE119" s="121"/>
      <c r="AF119" s="121"/>
      <c r="AG119" s="121"/>
      <c r="AH119" s="121"/>
      <c r="AI119" s="121"/>
      <c r="AJ119" s="121"/>
      <c r="AK119" s="121"/>
      <c r="AL119" s="121"/>
      <c r="AM119" s="121"/>
      <c r="AN119" s="121"/>
    </row>
    <row r="120" ht="17.25" hidden="1" customHeight="1">
      <c r="A120" s="121"/>
      <c r="B120" s="214"/>
      <c r="C120" s="214"/>
      <c r="D120" s="214"/>
      <c r="E120" s="214"/>
      <c r="F120" s="214"/>
      <c r="G120" s="214"/>
      <c r="H120" s="214"/>
      <c r="I120" s="214"/>
      <c r="J120" s="214"/>
      <c r="K120" s="214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</row>
    <row r="121" ht="17.25" hidden="1" customHeight="1">
      <c r="A121" s="121"/>
      <c r="B121" s="214"/>
      <c r="C121" s="214"/>
      <c r="D121" s="214"/>
      <c r="E121" s="214"/>
      <c r="F121" s="214"/>
      <c r="G121" s="214"/>
      <c r="H121" s="214"/>
      <c r="I121" s="214"/>
      <c r="J121" s="214"/>
      <c r="K121" s="214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</row>
    <row r="122" ht="17.25" hidden="1" customHeight="1">
      <c r="A122" s="121"/>
      <c r="B122" s="214"/>
      <c r="C122" s="214"/>
      <c r="D122" s="214"/>
      <c r="E122" s="214"/>
      <c r="F122" s="214"/>
      <c r="G122" s="214"/>
      <c r="H122" s="214"/>
      <c r="I122" s="214"/>
      <c r="J122" s="214"/>
      <c r="K122" s="214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  <c r="AA122" s="121"/>
      <c r="AB122" s="121"/>
      <c r="AC122" s="121"/>
      <c r="AD122" s="121"/>
      <c r="AE122" s="121"/>
      <c r="AF122" s="121"/>
      <c r="AG122" s="121"/>
      <c r="AH122" s="121"/>
      <c r="AI122" s="121"/>
      <c r="AJ122" s="121"/>
      <c r="AK122" s="121"/>
      <c r="AL122" s="121"/>
      <c r="AM122" s="121"/>
      <c r="AN122" s="121"/>
    </row>
    <row r="123" ht="17.25" hidden="1" customHeight="1">
      <c r="A123" s="121"/>
      <c r="B123" s="214"/>
      <c r="C123" s="214"/>
      <c r="D123" s="214"/>
      <c r="E123" s="214"/>
      <c r="F123" s="214"/>
      <c r="G123" s="214"/>
      <c r="H123" s="214"/>
      <c r="I123" s="214"/>
      <c r="J123" s="214"/>
      <c r="K123" s="214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1"/>
      <c r="AL123" s="121"/>
      <c r="AM123" s="121"/>
      <c r="AN123" s="121"/>
    </row>
    <row r="124" ht="17.25" hidden="1" customHeight="1">
      <c r="A124" s="121"/>
      <c r="B124" s="214"/>
      <c r="C124" s="214"/>
      <c r="D124" s="214"/>
      <c r="E124" s="214"/>
      <c r="F124" s="214"/>
      <c r="G124" s="214"/>
      <c r="H124" s="214"/>
      <c r="I124" s="214"/>
      <c r="J124" s="214"/>
      <c r="K124" s="214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</row>
    <row r="125" ht="17.25" hidden="1" customHeight="1">
      <c r="A125" s="121"/>
      <c r="B125" s="214"/>
      <c r="C125" s="214"/>
      <c r="D125" s="214"/>
      <c r="E125" s="214"/>
      <c r="F125" s="214"/>
      <c r="G125" s="214"/>
      <c r="H125" s="214"/>
      <c r="I125" s="214"/>
      <c r="J125" s="214"/>
      <c r="K125" s="214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</row>
    <row r="126" ht="17.25" hidden="1" customHeight="1">
      <c r="A126" s="121"/>
      <c r="B126" s="213">
        <f>COUNTIF($P$55:$P$59, true)</f>
        <v>0</v>
      </c>
      <c r="C126" s="214" t="str">
        <f t="array" ref="C126:O130">$C$55:$O$59</f>
        <v/>
      </c>
      <c r="D126" s="214"/>
      <c r="E126" s="214"/>
      <c r="F126" s="214"/>
      <c r="G126" s="214"/>
      <c r="H126" s="214"/>
      <c r="I126" s="214"/>
      <c r="J126" s="214"/>
      <c r="K126" s="214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</row>
    <row r="127" ht="17.25" hidden="1" customHeight="1">
      <c r="A127" s="121"/>
      <c r="B127" s="214"/>
      <c r="C127" s="214"/>
      <c r="D127" s="214"/>
      <c r="E127" s="214"/>
      <c r="F127" s="214"/>
      <c r="G127" s="214"/>
      <c r="H127" s="214"/>
      <c r="I127" s="214"/>
      <c r="J127" s="214"/>
      <c r="K127" s="214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</row>
    <row r="128" ht="17.25" hidden="1" customHeight="1">
      <c r="A128" s="121"/>
      <c r="B128" s="214"/>
      <c r="C128" s="214"/>
      <c r="D128" s="214"/>
      <c r="E128" s="214"/>
      <c r="F128" s="214"/>
      <c r="G128" s="214"/>
      <c r="H128" s="214"/>
      <c r="I128" s="214"/>
      <c r="J128" s="214"/>
      <c r="K128" s="214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</row>
    <row r="129" ht="17.25" hidden="1" customHeight="1">
      <c r="A129" s="121"/>
      <c r="B129" s="214"/>
      <c r="C129" s="214"/>
      <c r="D129" s="214"/>
      <c r="E129" s="214"/>
      <c r="F129" s="214"/>
      <c r="G129" s="214"/>
      <c r="H129" s="214"/>
      <c r="I129" s="214"/>
      <c r="J129" s="214"/>
      <c r="K129" s="214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</row>
    <row r="130" ht="17.25" hidden="1" customHeight="1">
      <c r="A130" s="121"/>
      <c r="B130" s="214"/>
      <c r="C130" s="214"/>
      <c r="D130" s="214"/>
      <c r="E130" s="214"/>
      <c r="F130" s="214"/>
      <c r="G130" s="214"/>
      <c r="H130" s="214"/>
      <c r="I130" s="214"/>
      <c r="J130" s="214"/>
      <c r="K130" s="214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</row>
    <row r="131" ht="17.25" hidden="1" customHeight="1">
      <c r="A131" s="121"/>
      <c r="B131" s="214"/>
      <c r="C131" s="214"/>
      <c r="D131" s="214"/>
      <c r="E131" s="214"/>
      <c r="F131" s="214"/>
      <c r="G131" s="214"/>
      <c r="H131" s="214"/>
      <c r="I131" s="214"/>
      <c r="J131" s="214"/>
      <c r="K131" s="214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</row>
    <row r="132" ht="17.25" hidden="1" customHeight="1">
      <c r="A132" s="121"/>
      <c r="B132" s="214"/>
      <c r="C132" s="214"/>
      <c r="D132" s="214"/>
      <c r="E132" s="214"/>
      <c r="F132" s="214"/>
      <c r="G132" s="214"/>
      <c r="H132" s="214"/>
      <c r="I132" s="214"/>
      <c r="J132" s="214"/>
      <c r="K132" s="214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</row>
    <row r="133" ht="17.25" hidden="1" customHeight="1">
      <c r="A133" s="121"/>
      <c r="B133" s="214"/>
      <c r="C133" s="214"/>
      <c r="D133" s="214"/>
      <c r="E133" s="214"/>
      <c r="F133" s="214"/>
      <c r="G133" s="214"/>
      <c r="H133" s="214"/>
      <c r="I133" s="214"/>
      <c r="J133" s="214"/>
      <c r="K133" s="214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</row>
    <row r="134" ht="17.25" hidden="1" customHeight="1">
      <c r="A134" s="121"/>
      <c r="B134" s="214"/>
      <c r="C134" s="214"/>
      <c r="D134" s="214"/>
      <c r="E134" s="214"/>
      <c r="F134" s="214"/>
      <c r="G134" s="214"/>
      <c r="H134" s="214"/>
      <c r="I134" s="214"/>
      <c r="J134" s="214"/>
      <c r="K134" s="214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  <c r="AA134" s="121"/>
      <c r="AB134" s="121"/>
      <c r="AC134" s="121"/>
      <c r="AD134" s="121"/>
      <c r="AE134" s="121"/>
      <c r="AF134" s="121"/>
      <c r="AG134" s="121"/>
      <c r="AH134" s="121"/>
      <c r="AI134" s="121"/>
      <c r="AJ134" s="121"/>
      <c r="AK134" s="121"/>
      <c r="AL134" s="121"/>
      <c r="AM134" s="121"/>
      <c r="AN134" s="121"/>
    </row>
    <row r="135" ht="17.25" hidden="1" customHeight="1">
      <c r="A135" s="121"/>
      <c r="B135" s="214"/>
      <c r="C135" s="214"/>
      <c r="D135" s="214"/>
      <c r="E135" s="214"/>
      <c r="F135" s="214"/>
      <c r="G135" s="214"/>
      <c r="H135" s="214"/>
      <c r="I135" s="214"/>
      <c r="J135" s="214"/>
      <c r="K135" s="214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  <c r="AA135" s="121"/>
      <c r="AB135" s="121"/>
      <c r="AC135" s="121"/>
      <c r="AD135" s="121"/>
      <c r="AE135" s="121"/>
      <c r="AF135" s="121"/>
      <c r="AG135" s="121"/>
      <c r="AH135" s="121"/>
      <c r="AI135" s="121"/>
      <c r="AJ135" s="121"/>
      <c r="AK135" s="121"/>
      <c r="AL135" s="121"/>
      <c r="AM135" s="121"/>
      <c r="AN135" s="121"/>
    </row>
    <row r="136" ht="17.25" hidden="1" customHeight="1">
      <c r="A136" s="121"/>
      <c r="B136" s="214"/>
      <c r="C136" s="214"/>
      <c r="D136" s="214"/>
      <c r="E136" s="214"/>
      <c r="F136" s="214"/>
      <c r="G136" s="214"/>
      <c r="H136" s="214"/>
      <c r="I136" s="214"/>
      <c r="J136" s="214"/>
      <c r="K136" s="214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  <c r="AA136" s="121"/>
      <c r="AB136" s="121"/>
      <c r="AC136" s="121"/>
      <c r="AD136" s="121"/>
      <c r="AE136" s="121"/>
      <c r="AF136" s="121"/>
      <c r="AG136" s="121"/>
      <c r="AH136" s="121"/>
      <c r="AI136" s="121"/>
      <c r="AJ136" s="121"/>
      <c r="AK136" s="121"/>
      <c r="AL136" s="121"/>
      <c r="AM136" s="121"/>
      <c r="AN136" s="121"/>
    </row>
    <row r="137" ht="17.25" hidden="1" customHeight="1">
      <c r="A137" s="121"/>
      <c r="B137" s="214"/>
      <c r="C137" s="214"/>
      <c r="D137" s="214"/>
      <c r="E137" s="214"/>
      <c r="F137" s="214"/>
      <c r="G137" s="214"/>
      <c r="H137" s="214"/>
      <c r="I137" s="214"/>
      <c r="J137" s="214"/>
      <c r="K137" s="214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  <c r="AA137" s="121"/>
      <c r="AB137" s="121"/>
      <c r="AC137" s="121"/>
      <c r="AD137" s="121"/>
      <c r="AE137" s="121"/>
      <c r="AF137" s="121"/>
      <c r="AG137" s="121"/>
      <c r="AH137" s="121"/>
      <c r="AI137" s="121"/>
      <c r="AJ137" s="121"/>
      <c r="AK137" s="121"/>
      <c r="AL137" s="121"/>
      <c r="AM137" s="121"/>
      <c r="AN137" s="121"/>
    </row>
    <row r="138" ht="17.25" hidden="1" customHeight="1">
      <c r="A138" s="121"/>
      <c r="B138" s="214"/>
      <c r="C138" s="214"/>
      <c r="D138" s="214"/>
      <c r="E138" s="214"/>
      <c r="F138" s="214"/>
      <c r="G138" s="214"/>
      <c r="H138" s="214"/>
      <c r="I138" s="214"/>
      <c r="J138" s="214"/>
      <c r="K138" s="214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21"/>
      <c r="AH138" s="121"/>
      <c r="AI138" s="121"/>
      <c r="AJ138" s="121"/>
      <c r="AK138" s="121"/>
      <c r="AL138" s="121"/>
      <c r="AM138" s="121"/>
      <c r="AN138" s="121"/>
    </row>
    <row r="139" ht="17.25" hidden="1" customHeight="1">
      <c r="A139" s="121"/>
      <c r="B139" s="214"/>
      <c r="C139" s="214"/>
      <c r="D139" s="214"/>
      <c r="E139" s="214"/>
      <c r="F139" s="214"/>
      <c r="G139" s="214"/>
      <c r="H139" s="214"/>
      <c r="I139" s="214"/>
      <c r="J139" s="214"/>
      <c r="K139" s="214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  <c r="AA139" s="121"/>
      <c r="AB139" s="121"/>
      <c r="AC139" s="121"/>
      <c r="AD139" s="121"/>
      <c r="AE139" s="121"/>
      <c r="AF139" s="121"/>
      <c r="AG139" s="121"/>
      <c r="AH139" s="121"/>
      <c r="AI139" s="121"/>
      <c r="AJ139" s="121"/>
      <c r="AK139" s="121"/>
      <c r="AL139" s="121"/>
      <c r="AM139" s="121"/>
      <c r="AN139" s="121"/>
    </row>
    <row r="140" ht="17.25" hidden="1" customHeight="1">
      <c r="A140" s="121"/>
      <c r="B140" s="214"/>
      <c r="C140" s="214"/>
      <c r="D140" s="214"/>
      <c r="E140" s="214"/>
      <c r="F140" s="214"/>
      <c r="G140" s="214"/>
      <c r="H140" s="214"/>
      <c r="I140" s="214"/>
      <c r="J140" s="214"/>
      <c r="K140" s="214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  <c r="AA140" s="121"/>
      <c r="AB140" s="121"/>
      <c r="AC140" s="121"/>
      <c r="AD140" s="121"/>
      <c r="AE140" s="121"/>
      <c r="AF140" s="121"/>
      <c r="AG140" s="121"/>
      <c r="AH140" s="121"/>
      <c r="AI140" s="121"/>
      <c r="AJ140" s="121"/>
      <c r="AK140" s="121"/>
      <c r="AL140" s="121"/>
      <c r="AM140" s="121"/>
      <c r="AN140" s="121"/>
    </row>
  </sheetData>
  <mergeCells count="86">
    <mergeCell ref="AI38:AM38"/>
    <mergeCell ref="AI39:AM39"/>
    <mergeCell ref="B42:B43"/>
    <mergeCell ref="C42:H42"/>
    <mergeCell ref="Q42:V42"/>
    <mergeCell ref="C43:H43"/>
    <mergeCell ref="Q43:V43"/>
    <mergeCell ref="J42:O42"/>
    <mergeCell ref="J43:O43"/>
    <mergeCell ref="C44:H44"/>
    <mergeCell ref="J44:O44"/>
    <mergeCell ref="Q44:V44"/>
    <mergeCell ref="J45:O45"/>
    <mergeCell ref="Q45:V45"/>
    <mergeCell ref="C47:H47"/>
    <mergeCell ref="C49:I49"/>
    <mergeCell ref="B49:B51"/>
    <mergeCell ref="C51:I51"/>
    <mergeCell ref="C52:H52"/>
    <mergeCell ref="B54:B55"/>
    <mergeCell ref="C45:H45"/>
    <mergeCell ref="C46:H46"/>
    <mergeCell ref="J46:O46"/>
    <mergeCell ref="Q46:V46"/>
    <mergeCell ref="J47:O47"/>
    <mergeCell ref="Q47:V47"/>
    <mergeCell ref="Q50:W50"/>
    <mergeCell ref="C55:O55"/>
    <mergeCell ref="C56:O56"/>
    <mergeCell ref="C57:O57"/>
    <mergeCell ref="C58:O58"/>
    <mergeCell ref="C59:O59"/>
    <mergeCell ref="C50:I50"/>
    <mergeCell ref="J50:P50"/>
    <mergeCell ref="J51:P51"/>
    <mergeCell ref="Q51:W51"/>
    <mergeCell ref="J52:O52"/>
    <mergeCell ref="Q52:V52"/>
    <mergeCell ref="C54:P54"/>
    <mergeCell ref="O3:T3"/>
    <mergeCell ref="O4:T4"/>
    <mergeCell ref="B7:B8"/>
    <mergeCell ref="C7:I7"/>
    <mergeCell ref="J7:P7"/>
    <mergeCell ref="Q7:W7"/>
    <mergeCell ref="B2:H2"/>
    <mergeCell ref="AG2:AM5"/>
    <mergeCell ref="B3:H4"/>
    <mergeCell ref="I3:M3"/>
    <mergeCell ref="V3:Z3"/>
    <mergeCell ref="I4:M4"/>
    <mergeCell ref="V4:Z4"/>
    <mergeCell ref="B5:H5"/>
    <mergeCell ref="AB3:AF3"/>
    <mergeCell ref="AB4:AF4"/>
    <mergeCell ref="X7:AD7"/>
    <mergeCell ref="AE7:AG7"/>
    <mergeCell ref="AI7:AJ8"/>
    <mergeCell ref="AK7:AM8"/>
    <mergeCell ref="AK10:AM10"/>
    <mergeCell ref="AK11:AM11"/>
    <mergeCell ref="AK12:AM12"/>
    <mergeCell ref="AK13:AM13"/>
    <mergeCell ref="AK14:AM14"/>
    <mergeCell ref="AK15:AM15"/>
    <mergeCell ref="AK16:AM16"/>
    <mergeCell ref="AK17:AM17"/>
    <mergeCell ref="AK18:AM18"/>
    <mergeCell ref="AK19:AM19"/>
    <mergeCell ref="AK20:AM20"/>
    <mergeCell ref="AK21:AM21"/>
    <mergeCell ref="B36:AG36"/>
    <mergeCell ref="AI36:AM36"/>
    <mergeCell ref="AI37:AM37"/>
    <mergeCell ref="X42:AC42"/>
    <mergeCell ref="X43:AC43"/>
    <mergeCell ref="X44:AC44"/>
    <mergeCell ref="X45:AC45"/>
    <mergeCell ref="X46:AC46"/>
    <mergeCell ref="X47:AC47"/>
    <mergeCell ref="J49:P49"/>
    <mergeCell ref="Q49:W49"/>
    <mergeCell ref="X49:AD49"/>
    <mergeCell ref="X50:AD50"/>
    <mergeCell ref="X51:AD51"/>
    <mergeCell ref="X52:AC52"/>
  </mergeCells>
  <conditionalFormatting sqref="C23:AG23">
    <cfRule type="cellIs" dxfId="0" priority="1" operator="greaterThanOrEqual">
      <formula>"75%"</formula>
    </cfRule>
  </conditionalFormatting>
  <dataValidations>
    <dataValidation type="list" allowBlank="1" showErrorMessage="1" sqref="C37:AG39">
      <formula1>"10,9,8,7,6,5,4,3,2,1"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2" width="25.88"/>
    <col customWidth="1" min="3" max="19" width="4.25"/>
    <col customWidth="1" min="20" max="20" width="6.88"/>
    <col customWidth="1" min="21" max="33" width="4.25"/>
    <col customWidth="1" min="34" max="40" width="4.75"/>
  </cols>
  <sheetData>
    <row r="1" ht="17.25" customHeight="1">
      <c r="A1" s="120"/>
      <c r="B1" s="121"/>
      <c r="C1" s="122"/>
      <c r="D1" s="120"/>
      <c r="E1" s="121"/>
      <c r="F1" s="121"/>
      <c r="G1" s="121"/>
      <c r="H1" s="121"/>
      <c r="I1" s="121"/>
      <c r="J1" s="121"/>
      <c r="K1" s="121"/>
      <c r="L1" s="121"/>
      <c r="M1" s="123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</row>
    <row r="2" ht="17.25" customHeight="1">
      <c r="A2" s="120"/>
      <c r="B2" s="124"/>
      <c r="C2" s="21"/>
      <c r="D2" s="21"/>
      <c r="E2" s="21"/>
      <c r="F2" s="21"/>
      <c r="G2" s="21"/>
      <c r="H2" s="21"/>
      <c r="I2" s="125"/>
      <c r="J2" s="125"/>
      <c r="K2" s="125"/>
      <c r="L2" s="125"/>
      <c r="M2" s="126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21"/>
      <c r="AI2" s="21"/>
      <c r="AJ2" s="21"/>
      <c r="AK2" s="21"/>
      <c r="AL2" s="21"/>
      <c r="AM2" s="42"/>
      <c r="AN2" s="121"/>
    </row>
    <row r="3" ht="17.25" customHeight="1">
      <c r="A3" s="120"/>
      <c r="B3" s="33" t="s">
        <v>38</v>
      </c>
      <c r="I3" s="29" t="s">
        <v>39</v>
      </c>
      <c r="N3" s="127"/>
      <c r="O3" s="29" t="s">
        <v>41</v>
      </c>
      <c r="U3" s="127"/>
      <c r="V3" s="29" t="s">
        <v>42</v>
      </c>
      <c r="AA3" s="127"/>
      <c r="AB3" s="29" t="s">
        <v>26</v>
      </c>
      <c r="AM3" s="105"/>
      <c r="AN3" s="121"/>
    </row>
    <row r="4" ht="17.25" customHeight="1">
      <c r="A4" s="120"/>
      <c r="B4" s="85"/>
      <c r="I4" s="128">
        <f>SUM(countA($B$10:$B$21),$I$62)</f>
        <v>0</v>
      </c>
      <c r="N4" s="129"/>
      <c r="O4" s="130">
        <f>SUM(COUNTIF($C$10:$AG$21, true),$J$62)</f>
        <v>0</v>
      </c>
      <c r="U4" s="129"/>
      <c r="V4" s="131" t="str">
        <f>IFERROR(__xludf.DUMMYFUNCTION("iferror(SPARKLINE($AB$4:$AF$4,{""charttype"",""bar"";""max"",1;""color1"",""#c9e4b2""}))"),"")</f>
        <v/>
      </c>
      <c r="AA4" s="129"/>
      <c r="AB4" s="132">
        <f>$O$4/SUM(COUNTA($C$10:$AG$21),$K$62)</f>
        <v>0</v>
      </c>
      <c r="AM4" s="105"/>
      <c r="AN4" s="121"/>
    </row>
    <row r="5" ht="17.25" customHeight="1">
      <c r="A5" s="120"/>
      <c r="B5" s="133"/>
      <c r="C5" s="37"/>
      <c r="D5" s="37"/>
      <c r="E5" s="37"/>
      <c r="F5" s="37"/>
      <c r="G5" s="37"/>
      <c r="H5" s="37"/>
      <c r="I5" s="134"/>
      <c r="J5" s="134"/>
      <c r="K5" s="134"/>
      <c r="L5" s="134"/>
      <c r="M5" s="135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4"/>
      <c r="AG5" s="37"/>
      <c r="AH5" s="37"/>
      <c r="AI5" s="37"/>
      <c r="AJ5" s="37"/>
      <c r="AK5" s="37"/>
      <c r="AL5" s="37"/>
      <c r="AM5" s="44"/>
      <c r="AN5" s="121"/>
    </row>
    <row r="6" ht="17.25" customHeight="1">
      <c r="A6" s="120"/>
      <c r="B6" s="121"/>
      <c r="C6" s="122"/>
      <c r="D6" s="120"/>
      <c r="E6" s="121"/>
      <c r="F6" s="121"/>
      <c r="G6" s="121"/>
      <c r="H6" s="121"/>
      <c r="I6" s="121"/>
      <c r="J6" s="121"/>
      <c r="K6" s="121"/>
      <c r="L6" s="121"/>
      <c r="M6" s="123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</row>
    <row r="7" ht="17.25" customHeight="1">
      <c r="A7" s="120"/>
      <c r="B7" s="136" t="s">
        <v>43</v>
      </c>
      <c r="C7" s="190" t="s">
        <v>44</v>
      </c>
      <c r="D7" s="46"/>
      <c r="E7" s="46"/>
      <c r="F7" s="46"/>
      <c r="G7" s="46"/>
      <c r="H7" s="46"/>
      <c r="I7" s="47"/>
      <c r="J7" s="216" t="s">
        <v>45</v>
      </c>
      <c r="K7" s="46"/>
      <c r="L7" s="46"/>
      <c r="M7" s="46"/>
      <c r="N7" s="46"/>
      <c r="O7" s="46"/>
      <c r="P7" s="47"/>
      <c r="Q7" s="217" t="s">
        <v>46</v>
      </c>
      <c r="R7" s="46"/>
      <c r="S7" s="46"/>
      <c r="T7" s="46"/>
      <c r="U7" s="46"/>
      <c r="V7" s="46"/>
      <c r="W7" s="47"/>
      <c r="X7" s="218" t="s">
        <v>47</v>
      </c>
      <c r="Y7" s="46"/>
      <c r="Z7" s="46"/>
      <c r="AA7" s="46"/>
      <c r="AB7" s="46"/>
      <c r="AC7" s="46"/>
      <c r="AD7" s="47"/>
      <c r="AE7" s="141"/>
      <c r="AF7" s="46"/>
      <c r="AG7" s="47"/>
      <c r="AH7" s="121"/>
      <c r="AI7" s="62" t="s">
        <v>48</v>
      </c>
      <c r="AJ7" s="42"/>
      <c r="AK7" s="62" t="s">
        <v>49</v>
      </c>
      <c r="AL7" s="21"/>
      <c r="AM7" s="42"/>
      <c r="AN7" s="121"/>
    </row>
    <row r="8" ht="17.25" customHeight="1">
      <c r="A8" s="121"/>
      <c r="B8" s="86"/>
      <c r="C8" s="143">
        <f>weekday(date(Dashboard!$Q$3,$AG$45,C9),1)</f>
        <v>2</v>
      </c>
      <c r="D8" s="143">
        <f>weekday(date(Dashboard!$Q$3,$AG$45,D9),1)</f>
        <v>3</v>
      </c>
      <c r="E8" s="143">
        <f>weekday(date(Dashboard!$Q$3,$AG$45,E9),1)</f>
        <v>4</v>
      </c>
      <c r="F8" s="143">
        <f>weekday(date(Dashboard!$Q$3,$AG$45,F9),1)</f>
        <v>5</v>
      </c>
      <c r="G8" s="143">
        <f>weekday(date(Dashboard!$Q$3,$AG$45,G9),1)</f>
        <v>6</v>
      </c>
      <c r="H8" s="143">
        <f>weekday(date(Dashboard!$Q$3,$AG$45,H9),1)</f>
        <v>7</v>
      </c>
      <c r="I8" s="143">
        <f>weekday(date(Dashboard!$Q$3,$AG$45,I9),1)</f>
        <v>1</v>
      </c>
      <c r="J8" s="144">
        <f>weekday(date(Dashboard!$Q$3,$AG$45,J9),1)</f>
        <v>2</v>
      </c>
      <c r="K8" s="144">
        <f>weekday(date(Dashboard!$Q$3,$AG$45,K9),1)</f>
        <v>3</v>
      </c>
      <c r="L8" s="144">
        <f>weekday(date(Dashboard!$Q$3,$AG$45,L9),1)</f>
        <v>4</v>
      </c>
      <c r="M8" s="144">
        <f>weekday(date(Dashboard!$Q$3,$AG$45,M9),1)</f>
        <v>5</v>
      </c>
      <c r="N8" s="144">
        <f>weekday(date(Dashboard!$Q$3,$AG$45,N9),1)</f>
        <v>6</v>
      </c>
      <c r="O8" s="144">
        <f>weekday(date(Dashboard!$Q$3,$AG$45,O9),1)</f>
        <v>7</v>
      </c>
      <c r="P8" s="144">
        <f>weekday(date(Dashboard!$Q$3,$AG$45,P9),1)</f>
        <v>1</v>
      </c>
      <c r="Q8" s="145">
        <f>weekday(date(Dashboard!$Q$3,$AG$45,Q9),1)</f>
        <v>2</v>
      </c>
      <c r="R8" s="145">
        <f>weekday(date(Dashboard!$Q$3,$AG$45,R9),1)</f>
        <v>3</v>
      </c>
      <c r="S8" s="145">
        <f>weekday(date(Dashboard!$Q$3,$AG$45,S9),1)</f>
        <v>4</v>
      </c>
      <c r="T8" s="145">
        <f>weekday(date(Dashboard!$Q$3,$AG$45,T9),1)</f>
        <v>5</v>
      </c>
      <c r="U8" s="145">
        <f>weekday(date(Dashboard!$Q$3,$AG$45,U9),1)</f>
        <v>6</v>
      </c>
      <c r="V8" s="145">
        <f>weekday(date(Dashboard!$Q$3,$AG$45,V9),1)</f>
        <v>7</v>
      </c>
      <c r="W8" s="145">
        <f>weekday(date(Dashboard!$Q$3,$AG$45,W9),1)</f>
        <v>1</v>
      </c>
      <c r="X8" s="146">
        <f>weekday(date(Dashboard!$Q$3,$AG$45,X9),1)</f>
        <v>2</v>
      </c>
      <c r="Y8" s="146">
        <f>weekday(date(Dashboard!$Q$3,$AG$45,Y9),1)</f>
        <v>3</v>
      </c>
      <c r="Z8" s="146">
        <f>weekday(date(Dashboard!$Q$3,$AG$45,Z9),1)</f>
        <v>4</v>
      </c>
      <c r="AA8" s="146">
        <f>weekday(date(Dashboard!$Q$3,$AG$45,AA9),1)</f>
        <v>5</v>
      </c>
      <c r="AB8" s="146">
        <f>weekday(date(Dashboard!$Q$3,$AG$45,AB9),1)</f>
        <v>6</v>
      </c>
      <c r="AC8" s="146">
        <f>weekday(date(Dashboard!$Q$3,$AG$45,AC9),1)</f>
        <v>7</v>
      </c>
      <c r="AD8" s="146">
        <f>weekday(date(Dashboard!$Q$3,$AG$45,AD9),1)</f>
        <v>1</v>
      </c>
      <c r="AE8" s="147">
        <f>weekday(date(Dashboard!$Q$3,$AG$45,AE9),1)</f>
        <v>2</v>
      </c>
      <c r="AF8" s="147">
        <f>weekday(date(Dashboard!$Q$3,$AG$45,AF9),1)</f>
        <v>3</v>
      </c>
      <c r="AG8" s="148">
        <f>weekday(date(Dashboard!$Q$3,$AG$45,AG9),1)</f>
        <v>4</v>
      </c>
      <c r="AH8" s="149"/>
      <c r="AI8" s="43"/>
      <c r="AJ8" s="44"/>
      <c r="AK8" s="43"/>
      <c r="AL8" s="37"/>
      <c r="AM8" s="44"/>
      <c r="AN8" s="149"/>
    </row>
    <row r="9" ht="17.25" customHeight="1">
      <c r="A9" s="121"/>
      <c r="B9" s="150">
        <f>TODAY()</f>
        <v>46025</v>
      </c>
      <c r="C9" s="151">
        <v>1.0</v>
      </c>
      <c r="D9" s="151">
        <v>2.0</v>
      </c>
      <c r="E9" s="151">
        <v>3.0</v>
      </c>
      <c r="F9" s="151">
        <v>4.0</v>
      </c>
      <c r="G9" s="151">
        <v>5.0</v>
      </c>
      <c r="H9" s="151">
        <v>6.0</v>
      </c>
      <c r="I9" s="151">
        <v>7.0</v>
      </c>
      <c r="J9" s="152">
        <v>8.0</v>
      </c>
      <c r="K9" s="152">
        <v>9.0</v>
      </c>
      <c r="L9" s="152">
        <v>10.0</v>
      </c>
      <c r="M9" s="152">
        <v>11.0</v>
      </c>
      <c r="N9" s="152">
        <v>12.0</v>
      </c>
      <c r="O9" s="152">
        <v>13.0</v>
      </c>
      <c r="P9" s="152">
        <v>14.0</v>
      </c>
      <c r="Q9" s="153">
        <v>15.0</v>
      </c>
      <c r="R9" s="153">
        <v>16.0</v>
      </c>
      <c r="S9" s="153">
        <v>17.0</v>
      </c>
      <c r="T9" s="153">
        <v>18.0</v>
      </c>
      <c r="U9" s="153">
        <v>19.0</v>
      </c>
      <c r="V9" s="153">
        <v>20.0</v>
      </c>
      <c r="W9" s="153">
        <v>21.0</v>
      </c>
      <c r="X9" s="154">
        <v>22.0</v>
      </c>
      <c r="Y9" s="154">
        <v>23.0</v>
      </c>
      <c r="Z9" s="154">
        <v>24.0</v>
      </c>
      <c r="AA9" s="154">
        <v>25.0</v>
      </c>
      <c r="AB9" s="154">
        <v>26.0</v>
      </c>
      <c r="AC9" s="154">
        <v>27.0</v>
      </c>
      <c r="AD9" s="154">
        <v>28.0</v>
      </c>
      <c r="AE9" s="155">
        <v>29.0</v>
      </c>
      <c r="AF9" s="155">
        <v>30.0</v>
      </c>
      <c r="AG9" s="155">
        <v>31.0</v>
      </c>
      <c r="AH9" s="149"/>
      <c r="AI9" s="156" t="s">
        <v>14</v>
      </c>
      <c r="AJ9" s="156" t="s">
        <v>50</v>
      </c>
      <c r="AK9" s="157"/>
      <c r="AL9" s="158"/>
      <c r="AM9" s="159"/>
      <c r="AN9" s="149"/>
    </row>
    <row r="10" ht="17.25" customHeight="1">
      <c r="A10" s="121"/>
      <c r="B10" s="160"/>
      <c r="C10" s="161" t="b">
        <v>0</v>
      </c>
      <c r="D10" s="162" t="b">
        <v>0</v>
      </c>
      <c r="E10" s="162" t="b">
        <v>0</v>
      </c>
      <c r="F10" s="162" t="b">
        <v>0</v>
      </c>
      <c r="G10" s="162" t="b">
        <v>0</v>
      </c>
      <c r="H10" s="162" t="b">
        <v>0</v>
      </c>
      <c r="I10" s="162" t="b">
        <v>0</v>
      </c>
      <c r="J10" s="163" t="b">
        <v>0</v>
      </c>
      <c r="K10" s="163" t="b">
        <v>0</v>
      </c>
      <c r="L10" s="163" t="b">
        <v>0</v>
      </c>
      <c r="M10" s="163" t="b">
        <v>0</v>
      </c>
      <c r="N10" s="163" t="b">
        <v>0</v>
      </c>
      <c r="O10" s="163" t="b">
        <v>0</v>
      </c>
      <c r="P10" s="163" t="b">
        <v>0</v>
      </c>
      <c r="Q10" s="164" t="b">
        <v>0</v>
      </c>
      <c r="R10" s="164" t="b">
        <v>0</v>
      </c>
      <c r="S10" s="164" t="b">
        <v>0</v>
      </c>
      <c r="T10" s="164" t="b">
        <v>0</v>
      </c>
      <c r="U10" s="164" t="b">
        <v>0</v>
      </c>
      <c r="V10" s="164" t="b">
        <v>0</v>
      </c>
      <c r="W10" s="164" t="b">
        <v>0</v>
      </c>
      <c r="X10" s="165" t="b">
        <v>0</v>
      </c>
      <c r="Y10" s="165" t="b">
        <v>0</v>
      </c>
      <c r="Z10" s="165" t="b">
        <v>0</v>
      </c>
      <c r="AA10" s="165" t="b">
        <v>0</v>
      </c>
      <c r="AB10" s="165" t="b">
        <v>0</v>
      </c>
      <c r="AC10" s="165" t="b">
        <v>0</v>
      </c>
      <c r="AD10" s="165" t="b">
        <v>0</v>
      </c>
      <c r="AE10" s="166" t="b">
        <v>0</v>
      </c>
      <c r="AF10" s="166" t="b">
        <v>0</v>
      </c>
      <c r="AG10" s="166" t="b">
        <v>0</v>
      </c>
      <c r="AH10" s="149"/>
      <c r="AI10" s="167"/>
      <c r="AJ10" s="168">
        <f t="array" ref="AJ10:AJ21">MMULT(N($C$10:$AG$21), TRANSPOSE(COLUMN($C$10:$AG$21)^0))
</f>
        <v>0</v>
      </c>
      <c r="AK10" s="169" t="str">
        <f>IFERROR(__xludf.DUMMYFUNCTION("iferror(SPARKLINE(AJ10/AI10,{""charttype"",""bar"";""max"",1;""color1"",""#c9e4b2""}))"),"")</f>
        <v/>
      </c>
      <c r="AL10" s="46"/>
      <c r="AM10" s="47"/>
      <c r="AN10" s="170"/>
    </row>
    <row r="11" ht="17.25" customHeight="1">
      <c r="A11" s="121"/>
      <c r="B11" s="160"/>
      <c r="C11" s="161" t="b">
        <v>0</v>
      </c>
      <c r="D11" s="162" t="b">
        <v>0</v>
      </c>
      <c r="E11" s="162" t="b">
        <v>0</v>
      </c>
      <c r="F11" s="162" t="b">
        <v>0</v>
      </c>
      <c r="G11" s="162" t="b">
        <v>0</v>
      </c>
      <c r="H11" s="162" t="b">
        <v>0</v>
      </c>
      <c r="I11" s="162" t="b">
        <v>0</v>
      </c>
      <c r="J11" s="163" t="b">
        <v>0</v>
      </c>
      <c r="K11" s="163" t="b">
        <v>0</v>
      </c>
      <c r="L11" s="163" t="b">
        <v>0</v>
      </c>
      <c r="M11" s="163" t="b">
        <v>0</v>
      </c>
      <c r="N11" s="163" t="b">
        <v>0</v>
      </c>
      <c r="O11" s="163" t="b">
        <v>0</v>
      </c>
      <c r="P11" s="163" t="b">
        <v>0</v>
      </c>
      <c r="Q11" s="164" t="b">
        <v>0</v>
      </c>
      <c r="R11" s="164" t="b">
        <v>0</v>
      </c>
      <c r="S11" s="164" t="b">
        <v>0</v>
      </c>
      <c r="T11" s="164" t="b">
        <v>0</v>
      </c>
      <c r="U11" s="164" t="b">
        <v>0</v>
      </c>
      <c r="V11" s="164" t="b">
        <v>0</v>
      </c>
      <c r="W11" s="164" t="b">
        <v>0</v>
      </c>
      <c r="X11" s="165" t="b">
        <v>0</v>
      </c>
      <c r="Y11" s="165" t="b">
        <v>0</v>
      </c>
      <c r="Z11" s="165" t="b">
        <v>0</v>
      </c>
      <c r="AA11" s="165" t="b">
        <v>0</v>
      </c>
      <c r="AB11" s="165" t="b">
        <v>0</v>
      </c>
      <c r="AC11" s="165" t="b">
        <v>0</v>
      </c>
      <c r="AD11" s="165" t="b">
        <v>0</v>
      </c>
      <c r="AE11" s="166" t="b">
        <v>0</v>
      </c>
      <c r="AF11" s="166" t="b">
        <v>0</v>
      </c>
      <c r="AG11" s="166" t="b">
        <v>0</v>
      </c>
      <c r="AH11" s="149"/>
      <c r="AI11" s="167"/>
      <c r="AJ11" s="160">
        <v>0.0</v>
      </c>
      <c r="AK11" s="169" t="str">
        <f>IFERROR(__xludf.DUMMYFUNCTION("iferror(SPARKLINE(AJ11/AI11,{""charttype"",""bar"";""max"",1;""color1"",""#c9e4b2""}))"),"")</f>
        <v/>
      </c>
      <c r="AL11" s="46"/>
      <c r="AM11" s="47"/>
      <c r="AN11" s="170"/>
    </row>
    <row r="12" ht="17.25" customHeight="1">
      <c r="A12" s="121"/>
      <c r="B12" s="160"/>
      <c r="C12" s="161" t="b">
        <v>0</v>
      </c>
      <c r="D12" s="162" t="b">
        <v>0</v>
      </c>
      <c r="E12" s="162" t="b">
        <v>0</v>
      </c>
      <c r="F12" s="162" t="b">
        <v>0</v>
      </c>
      <c r="G12" s="162" t="b">
        <v>0</v>
      </c>
      <c r="H12" s="162" t="b">
        <v>0</v>
      </c>
      <c r="I12" s="162" t="b">
        <v>0</v>
      </c>
      <c r="J12" s="163" t="b">
        <v>0</v>
      </c>
      <c r="K12" s="163" t="b">
        <v>0</v>
      </c>
      <c r="L12" s="163" t="b">
        <v>0</v>
      </c>
      <c r="M12" s="163" t="b">
        <v>0</v>
      </c>
      <c r="N12" s="163" t="b">
        <v>0</v>
      </c>
      <c r="O12" s="163" t="b">
        <v>0</v>
      </c>
      <c r="P12" s="163" t="b">
        <v>0</v>
      </c>
      <c r="Q12" s="164" t="b">
        <v>0</v>
      </c>
      <c r="R12" s="164" t="b">
        <v>0</v>
      </c>
      <c r="S12" s="164" t="b">
        <v>0</v>
      </c>
      <c r="T12" s="164" t="b">
        <v>0</v>
      </c>
      <c r="U12" s="164" t="b">
        <v>0</v>
      </c>
      <c r="V12" s="164" t="b">
        <v>0</v>
      </c>
      <c r="W12" s="164" t="b">
        <v>0</v>
      </c>
      <c r="X12" s="165" t="b">
        <v>0</v>
      </c>
      <c r="Y12" s="165" t="b">
        <v>0</v>
      </c>
      <c r="Z12" s="165" t="b">
        <v>0</v>
      </c>
      <c r="AA12" s="165" t="b">
        <v>0</v>
      </c>
      <c r="AB12" s="165" t="b">
        <v>0</v>
      </c>
      <c r="AC12" s="165" t="b">
        <v>0</v>
      </c>
      <c r="AD12" s="165" t="b">
        <v>0</v>
      </c>
      <c r="AE12" s="166" t="b">
        <v>0</v>
      </c>
      <c r="AF12" s="166" t="b">
        <v>0</v>
      </c>
      <c r="AG12" s="166" t="b">
        <v>0</v>
      </c>
      <c r="AH12" s="149"/>
      <c r="AI12" s="167"/>
      <c r="AJ12" s="160">
        <v>0.0</v>
      </c>
      <c r="AK12" s="169" t="str">
        <f>IFERROR(__xludf.DUMMYFUNCTION("iferror(SPARKLINE(AJ12/AI12,{""charttype"",""bar"";""max"",1;""color1"",""#c9e4b2""}))"),"")</f>
        <v/>
      </c>
      <c r="AL12" s="46"/>
      <c r="AM12" s="47"/>
      <c r="AN12" s="170"/>
    </row>
    <row r="13" ht="17.25" customHeight="1">
      <c r="A13" s="121"/>
      <c r="B13" s="160"/>
      <c r="C13" s="161" t="b">
        <v>0</v>
      </c>
      <c r="D13" s="162" t="b">
        <v>0</v>
      </c>
      <c r="E13" s="162" t="b">
        <v>0</v>
      </c>
      <c r="F13" s="162" t="b">
        <v>0</v>
      </c>
      <c r="G13" s="162" t="b">
        <v>0</v>
      </c>
      <c r="H13" s="162" t="b">
        <v>0</v>
      </c>
      <c r="I13" s="162" t="b">
        <v>0</v>
      </c>
      <c r="J13" s="163" t="b">
        <v>0</v>
      </c>
      <c r="K13" s="163" t="b">
        <v>0</v>
      </c>
      <c r="L13" s="163" t="b">
        <v>0</v>
      </c>
      <c r="M13" s="163" t="b">
        <v>0</v>
      </c>
      <c r="N13" s="163" t="b">
        <v>0</v>
      </c>
      <c r="O13" s="163" t="b">
        <v>0</v>
      </c>
      <c r="P13" s="163" t="b">
        <v>0</v>
      </c>
      <c r="Q13" s="164" t="b">
        <v>0</v>
      </c>
      <c r="R13" s="164" t="b">
        <v>0</v>
      </c>
      <c r="S13" s="164" t="b">
        <v>0</v>
      </c>
      <c r="T13" s="164" t="b">
        <v>0</v>
      </c>
      <c r="U13" s="164" t="b">
        <v>0</v>
      </c>
      <c r="V13" s="164" t="b">
        <v>0</v>
      </c>
      <c r="W13" s="164" t="b">
        <v>0</v>
      </c>
      <c r="X13" s="165" t="b">
        <v>0</v>
      </c>
      <c r="Y13" s="165" t="b">
        <v>0</v>
      </c>
      <c r="Z13" s="165" t="b">
        <v>0</v>
      </c>
      <c r="AA13" s="165" t="b">
        <v>0</v>
      </c>
      <c r="AB13" s="165" t="b">
        <v>0</v>
      </c>
      <c r="AC13" s="165" t="b">
        <v>0</v>
      </c>
      <c r="AD13" s="165" t="b">
        <v>0</v>
      </c>
      <c r="AE13" s="166" t="b">
        <v>0</v>
      </c>
      <c r="AF13" s="166" t="b">
        <v>0</v>
      </c>
      <c r="AG13" s="166" t="b">
        <v>0</v>
      </c>
      <c r="AH13" s="149"/>
      <c r="AI13" s="167"/>
      <c r="AJ13" s="160">
        <v>0.0</v>
      </c>
      <c r="AK13" s="169" t="str">
        <f>IFERROR(__xludf.DUMMYFUNCTION("iferror(SPARKLINE(AJ13/AI13,{""charttype"",""bar"";""max"",1;""color1"",""#c9e4b2""}))"),"")</f>
        <v/>
      </c>
      <c r="AL13" s="46"/>
      <c r="AM13" s="47"/>
      <c r="AN13" s="170"/>
    </row>
    <row r="14" ht="17.25" customHeight="1">
      <c r="A14" s="121"/>
      <c r="B14" s="160"/>
      <c r="C14" s="161" t="b">
        <v>0</v>
      </c>
      <c r="D14" s="162" t="b">
        <v>0</v>
      </c>
      <c r="E14" s="162" t="b">
        <v>0</v>
      </c>
      <c r="F14" s="162" t="b">
        <v>0</v>
      </c>
      <c r="G14" s="162" t="b">
        <v>0</v>
      </c>
      <c r="H14" s="162" t="b">
        <v>0</v>
      </c>
      <c r="I14" s="162" t="b">
        <v>0</v>
      </c>
      <c r="J14" s="163" t="b">
        <v>0</v>
      </c>
      <c r="K14" s="163" t="b">
        <v>0</v>
      </c>
      <c r="L14" s="163" t="b">
        <v>0</v>
      </c>
      <c r="M14" s="163" t="b">
        <v>0</v>
      </c>
      <c r="N14" s="163" t="b">
        <v>0</v>
      </c>
      <c r="O14" s="163" t="b">
        <v>0</v>
      </c>
      <c r="P14" s="163" t="b">
        <v>0</v>
      </c>
      <c r="Q14" s="164" t="b">
        <v>0</v>
      </c>
      <c r="R14" s="164" t="b">
        <v>0</v>
      </c>
      <c r="S14" s="164" t="b">
        <v>0</v>
      </c>
      <c r="T14" s="164" t="b">
        <v>0</v>
      </c>
      <c r="U14" s="164" t="b">
        <v>0</v>
      </c>
      <c r="V14" s="164" t="b">
        <v>0</v>
      </c>
      <c r="W14" s="164" t="b">
        <v>0</v>
      </c>
      <c r="X14" s="165" t="b">
        <v>0</v>
      </c>
      <c r="Y14" s="165" t="b">
        <v>0</v>
      </c>
      <c r="Z14" s="165" t="b">
        <v>0</v>
      </c>
      <c r="AA14" s="165" t="b">
        <v>0</v>
      </c>
      <c r="AB14" s="165" t="b">
        <v>0</v>
      </c>
      <c r="AC14" s="165" t="b">
        <v>0</v>
      </c>
      <c r="AD14" s="165" t="b">
        <v>0</v>
      </c>
      <c r="AE14" s="166" t="b">
        <v>0</v>
      </c>
      <c r="AF14" s="166" t="b">
        <v>0</v>
      </c>
      <c r="AG14" s="166" t="b">
        <v>0</v>
      </c>
      <c r="AH14" s="149"/>
      <c r="AI14" s="167"/>
      <c r="AJ14" s="160">
        <v>0.0</v>
      </c>
      <c r="AK14" s="169" t="str">
        <f>IFERROR(__xludf.DUMMYFUNCTION("iferror(SPARKLINE(AJ14/AI14,{""charttype"",""bar"";""max"",1;""color1"",""#c9e4b2""}))"),"")</f>
        <v/>
      </c>
      <c r="AL14" s="46"/>
      <c r="AM14" s="47"/>
      <c r="AN14" s="170"/>
    </row>
    <row r="15" ht="17.25" customHeight="1">
      <c r="A15" s="121"/>
      <c r="B15" s="160"/>
      <c r="C15" s="161" t="b">
        <v>0</v>
      </c>
      <c r="D15" s="162" t="b">
        <v>0</v>
      </c>
      <c r="E15" s="162" t="b">
        <v>0</v>
      </c>
      <c r="F15" s="162" t="b">
        <v>0</v>
      </c>
      <c r="G15" s="162" t="b">
        <v>0</v>
      </c>
      <c r="H15" s="162" t="b">
        <v>0</v>
      </c>
      <c r="I15" s="162" t="b">
        <v>0</v>
      </c>
      <c r="J15" s="163" t="b">
        <v>0</v>
      </c>
      <c r="K15" s="163" t="b">
        <v>0</v>
      </c>
      <c r="L15" s="163" t="b">
        <v>0</v>
      </c>
      <c r="M15" s="163" t="b">
        <v>0</v>
      </c>
      <c r="N15" s="163" t="b">
        <v>0</v>
      </c>
      <c r="O15" s="163" t="b">
        <v>0</v>
      </c>
      <c r="P15" s="163" t="b">
        <v>0</v>
      </c>
      <c r="Q15" s="164" t="b">
        <v>0</v>
      </c>
      <c r="R15" s="164" t="b">
        <v>0</v>
      </c>
      <c r="S15" s="164" t="b">
        <v>0</v>
      </c>
      <c r="T15" s="164" t="b">
        <v>0</v>
      </c>
      <c r="U15" s="164" t="b">
        <v>0</v>
      </c>
      <c r="V15" s="164" t="b">
        <v>0</v>
      </c>
      <c r="W15" s="164" t="b">
        <v>0</v>
      </c>
      <c r="X15" s="165" t="b">
        <v>0</v>
      </c>
      <c r="Y15" s="165" t="b">
        <v>0</v>
      </c>
      <c r="Z15" s="165" t="b">
        <v>0</v>
      </c>
      <c r="AA15" s="165" t="b">
        <v>0</v>
      </c>
      <c r="AB15" s="165" t="b">
        <v>0</v>
      </c>
      <c r="AC15" s="165" t="b">
        <v>0</v>
      </c>
      <c r="AD15" s="165" t="b">
        <v>0</v>
      </c>
      <c r="AE15" s="166" t="b">
        <v>0</v>
      </c>
      <c r="AF15" s="166" t="b">
        <v>0</v>
      </c>
      <c r="AG15" s="166" t="b">
        <v>0</v>
      </c>
      <c r="AH15" s="149"/>
      <c r="AI15" s="167"/>
      <c r="AJ15" s="160">
        <v>0.0</v>
      </c>
      <c r="AK15" s="169" t="str">
        <f>IFERROR(__xludf.DUMMYFUNCTION("iferror(SPARKLINE(AJ15/AI15,{""charttype"",""bar"";""max"",1;""color1"",""#c9e4b2""}))"),"")</f>
        <v/>
      </c>
      <c r="AL15" s="46"/>
      <c r="AM15" s="47"/>
      <c r="AN15" s="170"/>
    </row>
    <row r="16" ht="17.25" customHeight="1">
      <c r="A16" s="121"/>
      <c r="B16" s="160"/>
      <c r="C16" s="161" t="b">
        <v>0</v>
      </c>
      <c r="D16" s="162" t="b">
        <v>0</v>
      </c>
      <c r="E16" s="162" t="b">
        <v>0</v>
      </c>
      <c r="F16" s="162" t="b">
        <v>0</v>
      </c>
      <c r="G16" s="162" t="b">
        <v>0</v>
      </c>
      <c r="H16" s="162" t="b">
        <v>0</v>
      </c>
      <c r="I16" s="162" t="b">
        <v>0</v>
      </c>
      <c r="J16" s="163" t="b">
        <v>0</v>
      </c>
      <c r="K16" s="163" t="b">
        <v>0</v>
      </c>
      <c r="L16" s="163" t="b">
        <v>0</v>
      </c>
      <c r="M16" s="163" t="b">
        <v>0</v>
      </c>
      <c r="N16" s="163" t="b">
        <v>0</v>
      </c>
      <c r="O16" s="163" t="b">
        <v>0</v>
      </c>
      <c r="P16" s="163" t="b">
        <v>0</v>
      </c>
      <c r="Q16" s="164" t="b">
        <v>0</v>
      </c>
      <c r="R16" s="164" t="b">
        <v>0</v>
      </c>
      <c r="S16" s="164" t="b">
        <v>0</v>
      </c>
      <c r="T16" s="164" t="b">
        <v>0</v>
      </c>
      <c r="U16" s="164" t="b">
        <v>0</v>
      </c>
      <c r="V16" s="164" t="b">
        <v>0</v>
      </c>
      <c r="W16" s="164" t="b">
        <v>0</v>
      </c>
      <c r="X16" s="165" t="b">
        <v>0</v>
      </c>
      <c r="Y16" s="165" t="b">
        <v>0</v>
      </c>
      <c r="Z16" s="165" t="b">
        <v>0</v>
      </c>
      <c r="AA16" s="165" t="b">
        <v>0</v>
      </c>
      <c r="AB16" s="165" t="b">
        <v>0</v>
      </c>
      <c r="AC16" s="165" t="b">
        <v>0</v>
      </c>
      <c r="AD16" s="165" t="b">
        <v>0</v>
      </c>
      <c r="AE16" s="166" t="b">
        <v>0</v>
      </c>
      <c r="AF16" s="166" t="b">
        <v>0</v>
      </c>
      <c r="AG16" s="166" t="b">
        <v>0</v>
      </c>
      <c r="AH16" s="149"/>
      <c r="AI16" s="167"/>
      <c r="AJ16" s="160">
        <v>0.0</v>
      </c>
      <c r="AK16" s="169" t="str">
        <f>IFERROR(__xludf.DUMMYFUNCTION("iferror(SPARKLINE(AJ16/AI16,{""charttype"",""bar"";""max"",1;""color1"",""#c9e4b2""}))"),"")</f>
        <v/>
      </c>
      <c r="AL16" s="46"/>
      <c r="AM16" s="47"/>
      <c r="AN16" s="170"/>
    </row>
    <row r="17" ht="17.25" customHeight="1">
      <c r="A17" s="121"/>
      <c r="B17" s="160"/>
      <c r="C17" s="161" t="b">
        <v>0</v>
      </c>
      <c r="D17" s="162" t="b">
        <v>0</v>
      </c>
      <c r="E17" s="162" t="b">
        <v>0</v>
      </c>
      <c r="F17" s="162" t="b">
        <v>0</v>
      </c>
      <c r="G17" s="162" t="b">
        <v>0</v>
      </c>
      <c r="H17" s="162" t="b">
        <v>0</v>
      </c>
      <c r="I17" s="162" t="b">
        <v>0</v>
      </c>
      <c r="J17" s="163" t="b">
        <v>0</v>
      </c>
      <c r="K17" s="163" t="b">
        <v>0</v>
      </c>
      <c r="L17" s="163" t="b">
        <v>0</v>
      </c>
      <c r="M17" s="163" t="b">
        <v>0</v>
      </c>
      <c r="N17" s="163" t="b">
        <v>0</v>
      </c>
      <c r="O17" s="163" t="b">
        <v>0</v>
      </c>
      <c r="P17" s="163" t="b">
        <v>0</v>
      </c>
      <c r="Q17" s="164" t="b">
        <v>0</v>
      </c>
      <c r="R17" s="164" t="b">
        <v>0</v>
      </c>
      <c r="S17" s="164" t="b">
        <v>0</v>
      </c>
      <c r="T17" s="164" t="b">
        <v>0</v>
      </c>
      <c r="U17" s="164" t="b">
        <v>0</v>
      </c>
      <c r="V17" s="164" t="b">
        <v>0</v>
      </c>
      <c r="W17" s="164" t="b">
        <v>0</v>
      </c>
      <c r="X17" s="165" t="b">
        <v>0</v>
      </c>
      <c r="Y17" s="165" t="b">
        <v>0</v>
      </c>
      <c r="Z17" s="165" t="b">
        <v>0</v>
      </c>
      <c r="AA17" s="165" t="b">
        <v>0</v>
      </c>
      <c r="AB17" s="165" t="b">
        <v>0</v>
      </c>
      <c r="AC17" s="165" t="b">
        <v>0</v>
      </c>
      <c r="AD17" s="165" t="b">
        <v>0</v>
      </c>
      <c r="AE17" s="166" t="b">
        <v>0</v>
      </c>
      <c r="AF17" s="166" t="b">
        <v>0</v>
      </c>
      <c r="AG17" s="166" t="b">
        <v>0</v>
      </c>
      <c r="AH17" s="149"/>
      <c r="AI17" s="167"/>
      <c r="AJ17" s="160">
        <v>0.0</v>
      </c>
      <c r="AK17" s="169" t="str">
        <f>IFERROR(__xludf.DUMMYFUNCTION("iferror(SPARKLINE(AJ17/AI17,{""charttype"",""bar"";""max"",1;""color1"",""#c9e4b2""}))"),"")</f>
        <v/>
      </c>
      <c r="AL17" s="46"/>
      <c r="AM17" s="47"/>
      <c r="AN17" s="170"/>
    </row>
    <row r="18" ht="17.25" customHeight="1">
      <c r="A18" s="121"/>
      <c r="B18" s="160"/>
      <c r="C18" s="161" t="b">
        <v>0</v>
      </c>
      <c r="D18" s="162" t="b">
        <v>0</v>
      </c>
      <c r="E18" s="162" t="b">
        <v>0</v>
      </c>
      <c r="F18" s="162" t="b">
        <v>0</v>
      </c>
      <c r="G18" s="162" t="b">
        <v>0</v>
      </c>
      <c r="H18" s="162" t="b">
        <v>0</v>
      </c>
      <c r="I18" s="162" t="b">
        <v>0</v>
      </c>
      <c r="J18" s="163" t="b">
        <v>0</v>
      </c>
      <c r="K18" s="163" t="b">
        <v>0</v>
      </c>
      <c r="L18" s="163" t="b">
        <v>0</v>
      </c>
      <c r="M18" s="163" t="b">
        <v>0</v>
      </c>
      <c r="N18" s="163" t="b">
        <v>0</v>
      </c>
      <c r="O18" s="163" t="b">
        <v>0</v>
      </c>
      <c r="P18" s="163" t="b">
        <v>0</v>
      </c>
      <c r="Q18" s="164" t="b">
        <v>0</v>
      </c>
      <c r="R18" s="164" t="b">
        <v>0</v>
      </c>
      <c r="S18" s="164" t="b">
        <v>0</v>
      </c>
      <c r="T18" s="164" t="b">
        <v>0</v>
      </c>
      <c r="U18" s="164" t="b">
        <v>0</v>
      </c>
      <c r="V18" s="164" t="b">
        <v>0</v>
      </c>
      <c r="W18" s="164" t="b">
        <v>0</v>
      </c>
      <c r="X18" s="165" t="b">
        <v>0</v>
      </c>
      <c r="Y18" s="165" t="b">
        <v>0</v>
      </c>
      <c r="Z18" s="165" t="b">
        <v>0</v>
      </c>
      <c r="AA18" s="165" t="b">
        <v>0</v>
      </c>
      <c r="AB18" s="165" t="b">
        <v>0</v>
      </c>
      <c r="AC18" s="165" t="b">
        <v>0</v>
      </c>
      <c r="AD18" s="165" t="b">
        <v>0</v>
      </c>
      <c r="AE18" s="166" t="b">
        <v>0</v>
      </c>
      <c r="AF18" s="166" t="b">
        <v>0</v>
      </c>
      <c r="AG18" s="166" t="b">
        <v>0</v>
      </c>
      <c r="AH18" s="149"/>
      <c r="AI18" s="167"/>
      <c r="AJ18" s="160">
        <v>0.0</v>
      </c>
      <c r="AK18" s="169" t="str">
        <f>IFERROR(__xludf.DUMMYFUNCTION("iferror(SPARKLINE(AJ18/AI18,{""charttype"",""bar"";""max"",1;""color1"",""#c9e4b2""}))"),"")</f>
        <v/>
      </c>
      <c r="AL18" s="46"/>
      <c r="AM18" s="47"/>
      <c r="AN18" s="170"/>
    </row>
    <row r="19" ht="17.25" customHeight="1">
      <c r="A19" s="121"/>
      <c r="B19" s="160"/>
      <c r="C19" s="161" t="b">
        <v>0</v>
      </c>
      <c r="D19" s="162" t="b">
        <v>0</v>
      </c>
      <c r="E19" s="162" t="b">
        <v>0</v>
      </c>
      <c r="F19" s="162" t="b">
        <v>0</v>
      </c>
      <c r="G19" s="162" t="b">
        <v>0</v>
      </c>
      <c r="H19" s="162" t="b">
        <v>0</v>
      </c>
      <c r="I19" s="162" t="b">
        <v>0</v>
      </c>
      <c r="J19" s="163" t="b">
        <v>0</v>
      </c>
      <c r="K19" s="163" t="b">
        <v>0</v>
      </c>
      <c r="L19" s="163" t="b">
        <v>0</v>
      </c>
      <c r="M19" s="163" t="b">
        <v>0</v>
      </c>
      <c r="N19" s="163" t="b">
        <v>0</v>
      </c>
      <c r="O19" s="163" t="b">
        <v>0</v>
      </c>
      <c r="P19" s="163" t="b">
        <v>0</v>
      </c>
      <c r="Q19" s="164" t="b">
        <v>0</v>
      </c>
      <c r="R19" s="164" t="b">
        <v>0</v>
      </c>
      <c r="S19" s="164" t="b">
        <v>0</v>
      </c>
      <c r="T19" s="164" t="b">
        <v>0</v>
      </c>
      <c r="U19" s="164" t="b">
        <v>0</v>
      </c>
      <c r="V19" s="164" t="b">
        <v>0</v>
      </c>
      <c r="W19" s="164" t="b">
        <v>0</v>
      </c>
      <c r="X19" s="165" t="b">
        <v>0</v>
      </c>
      <c r="Y19" s="165" t="b">
        <v>0</v>
      </c>
      <c r="Z19" s="165" t="b">
        <v>0</v>
      </c>
      <c r="AA19" s="165" t="b">
        <v>0</v>
      </c>
      <c r="AB19" s="165" t="b">
        <v>0</v>
      </c>
      <c r="AC19" s="165" t="b">
        <v>0</v>
      </c>
      <c r="AD19" s="165" t="b">
        <v>0</v>
      </c>
      <c r="AE19" s="166" t="b">
        <v>0</v>
      </c>
      <c r="AF19" s="166" t="b">
        <v>0</v>
      </c>
      <c r="AG19" s="166" t="b">
        <v>0</v>
      </c>
      <c r="AH19" s="149"/>
      <c r="AI19" s="167"/>
      <c r="AJ19" s="160">
        <v>0.0</v>
      </c>
      <c r="AK19" s="169" t="str">
        <f>IFERROR(__xludf.DUMMYFUNCTION("iferror(SPARKLINE(AJ19/AI19,{""charttype"",""bar"";""max"",1;""color1"",""#c9e4b2""}))"),"")</f>
        <v/>
      </c>
      <c r="AL19" s="46"/>
      <c r="AM19" s="47"/>
      <c r="AN19" s="170"/>
    </row>
    <row r="20" ht="17.25" customHeight="1">
      <c r="A20" s="121"/>
      <c r="B20" s="160"/>
      <c r="C20" s="161" t="b">
        <v>0</v>
      </c>
      <c r="D20" s="162" t="b">
        <v>0</v>
      </c>
      <c r="E20" s="162" t="b">
        <v>0</v>
      </c>
      <c r="F20" s="162" t="b">
        <v>0</v>
      </c>
      <c r="G20" s="162" t="b">
        <v>0</v>
      </c>
      <c r="H20" s="162" t="b">
        <v>0</v>
      </c>
      <c r="I20" s="162" t="b">
        <v>0</v>
      </c>
      <c r="J20" s="163" t="b">
        <v>0</v>
      </c>
      <c r="K20" s="163" t="b">
        <v>0</v>
      </c>
      <c r="L20" s="163" t="b">
        <v>0</v>
      </c>
      <c r="M20" s="163" t="b">
        <v>0</v>
      </c>
      <c r="N20" s="163" t="b">
        <v>0</v>
      </c>
      <c r="O20" s="163" t="b">
        <v>0</v>
      </c>
      <c r="P20" s="163" t="b">
        <v>0</v>
      </c>
      <c r="Q20" s="164" t="b">
        <v>0</v>
      </c>
      <c r="R20" s="164" t="b">
        <v>0</v>
      </c>
      <c r="S20" s="164" t="b">
        <v>0</v>
      </c>
      <c r="T20" s="164" t="b">
        <v>0</v>
      </c>
      <c r="U20" s="164" t="b">
        <v>0</v>
      </c>
      <c r="V20" s="164" t="b">
        <v>0</v>
      </c>
      <c r="W20" s="164" t="b">
        <v>0</v>
      </c>
      <c r="X20" s="165" t="b">
        <v>0</v>
      </c>
      <c r="Y20" s="165" t="b">
        <v>0</v>
      </c>
      <c r="Z20" s="165" t="b">
        <v>0</v>
      </c>
      <c r="AA20" s="165" t="b">
        <v>0</v>
      </c>
      <c r="AB20" s="165" t="b">
        <v>0</v>
      </c>
      <c r="AC20" s="165" t="b">
        <v>0</v>
      </c>
      <c r="AD20" s="165" t="b">
        <v>0</v>
      </c>
      <c r="AE20" s="166" t="b">
        <v>0</v>
      </c>
      <c r="AF20" s="166" t="b">
        <v>0</v>
      </c>
      <c r="AG20" s="166" t="b">
        <v>0</v>
      </c>
      <c r="AH20" s="149"/>
      <c r="AI20" s="167"/>
      <c r="AJ20" s="160">
        <v>0.0</v>
      </c>
      <c r="AK20" s="169" t="str">
        <f>IFERROR(__xludf.DUMMYFUNCTION("iferror(SPARKLINE(AJ20/AI20,{""charttype"",""bar"";""max"",1;""color1"",""#c9e4b2""}))"),"")</f>
        <v/>
      </c>
      <c r="AL20" s="46"/>
      <c r="AM20" s="47"/>
      <c r="AN20" s="170"/>
    </row>
    <row r="21" ht="17.25" customHeight="1">
      <c r="A21" s="121"/>
      <c r="B21" s="160"/>
      <c r="C21" s="171" t="b">
        <v>0</v>
      </c>
      <c r="D21" s="172" t="b">
        <v>0</v>
      </c>
      <c r="E21" s="172" t="b">
        <v>0</v>
      </c>
      <c r="F21" s="172" t="b">
        <v>0</v>
      </c>
      <c r="G21" s="172" t="b">
        <v>0</v>
      </c>
      <c r="H21" s="172" t="b">
        <v>0</v>
      </c>
      <c r="I21" s="172" t="b">
        <v>0</v>
      </c>
      <c r="J21" s="173" t="b">
        <v>0</v>
      </c>
      <c r="K21" s="173" t="b">
        <v>0</v>
      </c>
      <c r="L21" s="173" t="b">
        <v>0</v>
      </c>
      <c r="M21" s="173" t="b">
        <v>0</v>
      </c>
      <c r="N21" s="173" t="b">
        <v>0</v>
      </c>
      <c r="O21" s="173" t="b">
        <v>0</v>
      </c>
      <c r="P21" s="173" t="b">
        <v>0</v>
      </c>
      <c r="Q21" s="174" t="b">
        <v>0</v>
      </c>
      <c r="R21" s="174" t="b">
        <v>0</v>
      </c>
      <c r="S21" s="174" t="b">
        <v>0</v>
      </c>
      <c r="T21" s="174" t="b">
        <v>0</v>
      </c>
      <c r="U21" s="174" t="b">
        <v>0</v>
      </c>
      <c r="V21" s="174" t="b">
        <v>0</v>
      </c>
      <c r="W21" s="174" t="b">
        <v>0</v>
      </c>
      <c r="X21" s="175" t="b">
        <v>0</v>
      </c>
      <c r="Y21" s="175" t="b">
        <v>0</v>
      </c>
      <c r="Z21" s="175" t="b">
        <v>0</v>
      </c>
      <c r="AA21" s="175" t="b">
        <v>0</v>
      </c>
      <c r="AB21" s="175" t="b">
        <v>0</v>
      </c>
      <c r="AC21" s="175" t="b">
        <v>0</v>
      </c>
      <c r="AD21" s="175" t="b">
        <v>0</v>
      </c>
      <c r="AE21" s="176" t="b">
        <v>0</v>
      </c>
      <c r="AF21" s="176" t="b">
        <v>0</v>
      </c>
      <c r="AG21" s="176" t="b">
        <v>0</v>
      </c>
      <c r="AH21" s="149"/>
      <c r="AI21" s="167"/>
      <c r="AJ21" s="160">
        <v>0.0</v>
      </c>
      <c r="AK21" s="169" t="str">
        <f>IFERROR(__xludf.DUMMYFUNCTION("iferror(SPARKLINE(AJ21/AI21,{""charttype"",""bar"";""max"",1;""color1"",""#c9e4b2""}))"),"")</f>
        <v/>
      </c>
      <c r="AL21" s="46"/>
      <c r="AM21" s="47"/>
      <c r="AN21" s="170"/>
    </row>
    <row r="22" ht="17.25" customHeight="1">
      <c r="A22" s="121"/>
      <c r="B22" s="121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49"/>
      <c r="AK22" s="149"/>
      <c r="AL22" s="149"/>
      <c r="AM22" s="149"/>
      <c r="AN22" s="149"/>
    </row>
    <row r="23" ht="17.25" customHeight="1">
      <c r="A23" s="121"/>
      <c r="B23" s="219" t="s">
        <v>26</v>
      </c>
      <c r="C23" s="178">
        <f t="shared" ref="C23:AG23" si="1">COUNTIF(C10:C21, TRUE)/COUNTA(C10:C21)</f>
        <v>0</v>
      </c>
      <c r="D23" s="178">
        <f t="shared" si="1"/>
        <v>0</v>
      </c>
      <c r="E23" s="178">
        <f t="shared" si="1"/>
        <v>0</v>
      </c>
      <c r="F23" s="178">
        <f t="shared" si="1"/>
        <v>0</v>
      </c>
      <c r="G23" s="178">
        <f t="shared" si="1"/>
        <v>0</v>
      </c>
      <c r="H23" s="178">
        <f t="shared" si="1"/>
        <v>0</v>
      </c>
      <c r="I23" s="178">
        <f t="shared" si="1"/>
        <v>0</v>
      </c>
      <c r="J23" s="178">
        <f t="shared" si="1"/>
        <v>0</v>
      </c>
      <c r="K23" s="178">
        <f t="shared" si="1"/>
        <v>0</v>
      </c>
      <c r="L23" s="178">
        <f t="shared" si="1"/>
        <v>0</v>
      </c>
      <c r="M23" s="178">
        <f t="shared" si="1"/>
        <v>0</v>
      </c>
      <c r="N23" s="178">
        <f t="shared" si="1"/>
        <v>0</v>
      </c>
      <c r="O23" s="178">
        <f t="shared" si="1"/>
        <v>0</v>
      </c>
      <c r="P23" s="178">
        <f t="shared" si="1"/>
        <v>0</v>
      </c>
      <c r="Q23" s="178">
        <f t="shared" si="1"/>
        <v>0</v>
      </c>
      <c r="R23" s="178">
        <f t="shared" si="1"/>
        <v>0</v>
      </c>
      <c r="S23" s="178">
        <f t="shared" si="1"/>
        <v>0</v>
      </c>
      <c r="T23" s="178">
        <f t="shared" si="1"/>
        <v>0</v>
      </c>
      <c r="U23" s="178">
        <f t="shared" si="1"/>
        <v>0</v>
      </c>
      <c r="V23" s="178">
        <f t="shared" si="1"/>
        <v>0</v>
      </c>
      <c r="W23" s="178">
        <f t="shared" si="1"/>
        <v>0</v>
      </c>
      <c r="X23" s="178">
        <f t="shared" si="1"/>
        <v>0</v>
      </c>
      <c r="Y23" s="178">
        <f t="shared" si="1"/>
        <v>0</v>
      </c>
      <c r="Z23" s="178">
        <f t="shared" si="1"/>
        <v>0</v>
      </c>
      <c r="AA23" s="178">
        <f t="shared" si="1"/>
        <v>0</v>
      </c>
      <c r="AB23" s="178">
        <f t="shared" si="1"/>
        <v>0</v>
      </c>
      <c r="AC23" s="178">
        <f t="shared" si="1"/>
        <v>0</v>
      </c>
      <c r="AD23" s="178">
        <f t="shared" si="1"/>
        <v>0</v>
      </c>
      <c r="AE23" s="178">
        <f t="shared" si="1"/>
        <v>0</v>
      </c>
      <c r="AF23" s="178">
        <f t="shared" si="1"/>
        <v>0</v>
      </c>
      <c r="AG23" s="178">
        <f t="shared" si="1"/>
        <v>0</v>
      </c>
      <c r="AH23" s="149"/>
      <c r="AI23" s="179"/>
      <c r="AJ23" s="180"/>
      <c r="AK23" s="149"/>
      <c r="AL23" s="149"/>
      <c r="AM23" s="149"/>
      <c r="AN23" s="149"/>
    </row>
    <row r="24" ht="17.25" customHeight="1">
      <c r="A24" s="121"/>
      <c r="B24" s="219" t="s">
        <v>51</v>
      </c>
      <c r="C24" s="181">
        <f t="shared" ref="C24:AG24" si="2">COUNTIF(C10:C21, true)</f>
        <v>0</v>
      </c>
      <c r="D24" s="181">
        <f t="shared" si="2"/>
        <v>0</v>
      </c>
      <c r="E24" s="181">
        <f t="shared" si="2"/>
        <v>0</v>
      </c>
      <c r="F24" s="181">
        <f t="shared" si="2"/>
        <v>0</v>
      </c>
      <c r="G24" s="181">
        <f t="shared" si="2"/>
        <v>0</v>
      </c>
      <c r="H24" s="181">
        <f t="shared" si="2"/>
        <v>0</v>
      </c>
      <c r="I24" s="181">
        <f t="shared" si="2"/>
        <v>0</v>
      </c>
      <c r="J24" s="181">
        <f t="shared" si="2"/>
        <v>0</v>
      </c>
      <c r="K24" s="181">
        <f t="shared" si="2"/>
        <v>0</v>
      </c>
      <c r="L24" s="181">
        <f t="shared" si="2"/>
        <v>0</v>
      </c>
      <c r="M24" s="181">
        <f t="shared" si="2"/>
        <v>0</v>
      </c>
      <c r="N24" s="181">
        <f t="shared" si="2"/>
        <v>0</v>
      </c>
      <c r="O24" s="181">
        <f t="shared" si="2"/>
        <v>0</v>
      </c>
      <c r="P24" s="181">
        <f t="shared" si="2"/>
        <v>0</v>
      </c>
      <c r="Q24" s="181">
        <f t="shared" si="2"/>
        <v>0</v>
      </c>
      <c r="R24" s="181">
        <f t="shared" si="2"/>
        <v>0</v>
      </c>
      <c r="S24" s="181">
        <f t="shared" si="2"/>
        <v>0</v>
      </c>
      <c r="T24" s="181">
        <f t="shared" si="2"/>
        <v>0</v>
      </c>
      <c r="U24" s="181">
        <f t="shared" si="2"/>
        <v>0</v>
      </c>
      <c r="V24" s="181">
        <f t="shared" si="2"/>
        <v>0</v>
      </c>
      <c r="W24" s="181">
        <f t="shared" si="2"/>
        <v>0</v>
      </c>
      <c r="X24" s="181">
        <f t="shared" si="2"/>
        <v>0</v>
      </c>
      <c r="Y24" s="181">
        <f t="shared" si="2"/>
        <v>0</v>
      </c>
      <c r="Z24" s="181">
        <f t="shared" si="2"/>
        <v>0</v>
      </c>
      <c r="AA24" s="181">
        <f t="shared" si="2"/>
        <v>0</v>
      </c>
      <c r="AB24" s="181">
        <f t="shared" si="2"/>
        <v>0</v>
      </c>
      <c r="AC24" s="181">
        <f t="shared" si="2"/>
        <v>0</v>
      </c>
      <c r="AD24" s="181">
        <f t="shared" si="2"/>
        <v>0</v>
      </c>
      <c r="AE24" s="181">
        <f t="shared" si="2"/>
        <v>0</v>
      </c>
      <c r="AF24" s="181">
        <f t="shared" si="2"/>
        <v>0</v>
      </c>
      <c r="AG24" s="181">
        <f t="shared" si="2"/>
        <v>0</v>
      </c>
      <c r="AH24" s="149"/>
      <c r="AI24" s="179"/>
      <c r="AJ24" s="180"/>
      <c r="AK24" s="149"/>
      <c r="AL24" s="149"/>
      <c r="AM24" s="149"/>
      <c r="AN24" s="149"/>
    </row>
    <row r="25" ht="17.25" customHeight="1">
      <c r="A25" s="121"/>
      <c r="B25" s="219" t="s">
        <v>52</v>
      </c>
      <c r="C25" s="182">
        <f t="shared" ref="C25:AG25" si="3">COUNTIF(C10:C21, false)</f>
        <v>12</v>
      </c>
      <c r="D25" s="182">
        <f t="shared" si="3"/>
        <v>12</v>
      </c>
      <c r="E25" s="182">
        <f t="shared" si="3"/>
        <v>12</v>
      </c>
      <c r="F25" s="182">
        <f t="shared" si="3"/>
        <v>12</v>
      </c>
      <c r="G25" s="182">
        <f t="shared" si="3"/>
        <v>12</v>
      </c>
      <c r="H25" s="182">
        <f t="shared" si="3"/>
        <v>12</v>
      </c>
      <c r="I25" s="182">
        <f t="shared" si="3"/>
        <v>12</v>
      </c>
      <c r="J25" s="182">
        <f t="shared" si="3"/>
        <v>12</v>
      </c>
      <c r="K25" s="182">
        <f t="shared" si="3"/>
        <v>12</v>
      </c>
      <c r="L25" s="182">
        <f t="shared" si="3"/>
        <v>12</v>
      </c>
      <c r="M25" s="182">
        <f t="shared" si="3"/>
        <v>12</v>
      </c>
      <c r="N25" s="182">
        <f t="shared" si="3"/>
        <v>12</v>
      </c>
      <c r="O25" s="182">
        <f t="shared" si="3"/>
        <v>12</v>
      </c>
      <c r="P25" s="182">
        <f t="shared" si="3"/>
        <v>12</v>
      </c>
      <c r="Q25" s="182">
        <f t="shared" si="3"/>
        <v>12</v>
      </c>
      <c r="R25" s="182">
        <f t="shared" si="3"/>
        <v>12</v>
      </c>
      <c r="S25" s="182">
        <f t="shared" si="3"/>
        <v>12</v>
      </c>
      <c r="T25" s="182">
        <f t="shared" si="3"/>
        <v>12</v>
      </c>
      <c r="U25" s="182">
        <f t="shared" si="3"/>
        <v>12</v>
      </c>
      <c r="V25" s="182">
        <f t="shared" si="3"/>
        <v>12</v>
      </c>
      <c r="W25" s="182">
        <f t="shared" si="3"/>
        <v>12</v>
      </c>
      <c r="X25" s="182">
        <f t="shared" si="3"/>
        <v>12</v>
      </c>
      <c r="Y25" s="182">
        <f t="shared" si="3"/>
        <v>12</v>
      </c>
      <c r="Z25" s="182">
        <f t="shared" si="3"/>
        <v>12</v>
      </c>
      <c r="AA25" s="182">
        <f t="shared" si="3"/>
        <v>12</v>
      </c>
      <c r="AB25" s="182">
        <f t="shared" si="3"/>
        <v>12</v>
      </c>
      <c r="AC25" s="182">
        <f t="shared" si="3"/>
        <v>12</v>
      </c>
      <c r="AD25" s="182">
        <f t="shared" si="3"/>
        <v>12</v>
      </c>
      <c r="AE25" s="182">
        <f t="shared" si="3"/>
        <v>12</v>
      </c>
      <c r="AF25" s="182">
        <f t="shared" si="3"/>
        <v>12</v>
      </c>
      <c r="AG25" s="182">
        <f t="shared" si="3"/>
        <v>12</v>
      </c>
      <c r="AH25" s="149"/>
      <c r="AI25" s="179"/>
      <c r="AJ25" s="180"/>
      <c r="AK25" s="149"/>
      <c r="AL25" s="149"/>
      <c r="AM25" s="149"/>
      <c r="AN25" s="149"/>
    </row>
    <row r="26" ht="17.25" customHeight="1">
      <c r="A26" s="121"/>
      <c r="B26" s="121"/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  <c r="AA26" s="149"/>
      <c r="AB26" s="149"/>
      <c r="AC26" s="149"/>
      <c r="AD26" s="149"/>
      <c r="AE26" s="149"/>
      <c r="AF26" s="149"/>
      <c r="AG26" s="149"/>
      <c r="AH26" s="149"/>
      <c r="AI26" s="179"/>
      <c r="AJ26" s="180"/>
      <c r="AK26" s="149"/>
      <c r="AL26" s="149"/>
      <c r="AM26" s="149"/>
      <c r="AN26" s="149"/>
    </row>
    <row r="27" ht="17.25" customHeight="1">
      <c r="A27" s="121"/>
      <c r="B27" s="121"/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  <c r="AA27" s="149"/>
      <c r="AB27" s="149"/>
      <c r="AC27" s="149"/>
      <c r="AD27" s="149"/>
      <c r="AE27" s="149"/>
      <c r="AF27" s="149"/>
      <c r="AG27" s="149"/>
      <c r="AH27" s="149"/>
      <c r="AI27" s="179"/>
      <c r="AJ27" s="180"/>
      <c r="AK27" s="149"/>
      <c r="AL27" s="149"/>
      <c r="AM27" s="149"/>
      <c r="AN27" s="149"/>
    </row>
    <row r="28" ht="17.25" customHeight="1">
      <c r="A28" s="121"/>
      <c r="B28" s="121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  <c r="AB28" s="149"/>
      <c r="AC28" s="149"/>
      <c r="AD28" s="149"/>
      <c r="AE28" s="149"/>
      <c r="AF28" s="149"/>
      <c r="AG28" s="149"/>
      <c r="AH28" s="149"/>
      <c r="AI28" s="179"/>
      <c r="AJ28" s="180"/>
      <c r="AK28" s="149"/>
      <c r="AL28" s="149"/>
      <c r="AM28" s="149"/>
      <c r="AN28" s="149"/>
    </row>
    <row r="29" ht="17.25" customHeight="1">
      <c r="A29" s="121"/>
      <c r="B29" s="121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79"/>
      <c r="AJ29" s="180"/>
      <c r="AK29" s="149"/>
      <c r="AL29" s="149"/>
      <c r="AM29" s="149"/>
      <c r="AN29" s="149"/>
    </row>
    <row r="30" ht="17.25" customHeight="1">
      <c r="A30" s="121"/>
      <c r="B30" s="121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49"/>
      <c r="AE30" s="149"/>
      <c r="AF30" s="149"/>
      <c r="AG30" s="149"/>
      <c r="AH30" s="149"/>
      <c r="AI30" s="179"/>
      <c r="AJ30" s="180"/>
      <c r="AK30" s="149"/>
      <c r="AL30" s="149"/>
      <c r="AM30" s="149"/>
      <c r="AN30" s="149"/>
    </row>
    <row r="31" ht="17.25" customHeight="1">
      <c r="A31" s="121"/>
      <c r="B31" s="121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  <c r="AI31" s="179"/>
      <c r="AJ31" s="180"/>
      <c r="AK31" s="149"/>
      <c r="AL31" s="149"/>
      <c r="AM31" s="149"/>
      <c r="AN31" s="149"/>
    </row>
    <row r="32" ht="17.25" customHeight="1">
      <c r="A32" s="121"/>
      <c r="B32" s="121"/>
      <c r="C32" s="149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79"/>
      <c r="AJ32" s="180"/>
      <c r="AK32" s="149"/>
      <c r="AL32" s="149"/>
      <c r="AM32" s="149"/>
      <c r="AN32" s="149"/>
    </row>
    <row r="33" ht="17.25" customHeight="1">
      <c r="A33" s="121"/>
      <c r="B33" s="121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149"/>
      <c r="AG33" s="149"/>
      <c r="AH33" s="149"/>
      <c r="AI33" s="179"/>
      <c r="AJ33" s="180"/>
      <c r="AK33" s="149"/>
      <c r="AL33" s="149"/>
      <c r="AM33" s="149"/>
      <c r="AN33" s="149"/>
    </row>
    <row r="34" ht="17.25" customHeight="1">
      <c r="A34" s="121"/>
      <c r="B34" s="121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  <c r="AC34" s="149"/>
      <c r="AD34" s="149"/>
      <c r="AE34" s="149"/>
      <c r="AF34" s="149"/>
      <c r="AG34" s="149"/>
      <c r="AH34" s="149"/>
      <c r="AI34" s="179"/>
      <c r="AJ34" s="180"/>
      <c r="AK34" s="149"/>
      <c r="AL34" s="149"/>
      <c r="AM34" s="149"/>
      <c r="AN34" s="149"/>
    </row>
    <row r="35" ht="17.25" customHeight="1">
      <c r="A35" s="121"/>
      <c r="B35" s="121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149"/>
      <c r="AE35" s="149"/>
      <c r="AF35" s="149"/>
      <c r="AG35" s="149"/>
      <c r="AH35" s="149"/>
      <c r="AI35" s="183"/>
      <c r="AJ35" s="183"/>
      <c r="AK35" s="149"/>
      <c r="AL35" s="149"/>
      <c r="AM35" s="149"/>
      <c r="AN35" s="149"/>
    </row>
    <row r="36" ht="17.25" customHeight="1">
      <c r="A36" s="121"/>
      <c r="B36" s="184" t="s">
        <v>53</v>
      </c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7"/>
      <c r="AH36" s="149"/>
      <c r="AI36" s="184" t="s">
        <v>54</v>
      </c>
      <c r="AJ36" s="46"/>
      <c r="AK36" s="46"/>
      <c r="AL36" s="46"/>
      <c r="AM36" s="47"/>
      <c r="AN36" s="149"/>
    </row>
    <row r="37" ht="17.25" customHeight="1">
      <c r="A37" s="121"/>
      <c r="B37" s="185" t="s">
        <v>55</v>
      </c>
      <c r="C37" s="186"/>
      <c r="D37" s="186"/>
      <c r="E37" s="186"/>
      <c r="F37" s="186"/>
      <c r="G37" s="186"/>
      <c r="H37" s="186"/>
      <c r="I37" s="186"/>
      <c r="J37" s="186"/>
      <c r="K37" s="186"/>
      <c r="L37" s="186"/>
      <c r="M37" s="186"/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  <c r="AA37" s="186"/>
      <c r="AB37" s="186"/>
      <c r="AC37" s="186"/>
      <c r="AD37" s="186"/>
      <c r="AE37" s="186"/>
      <c r="AF37" s="186"/>
      <c r="AG37" s="186"/>
      <c r="AH37" s="149"/>
      <c r="AI37" s="187" t="str">
        <f t="shared" ref="AI37:AI39" si="4">iferror(Average(C37:AG37), "")</f>
        <v/>
      </c>
      <c r="AJ37" s="46"/>
      <c r="AK37" s="46"/>
      <c r="AL37" s="46"/>
      <c r="AM37" s="47"/>
      <c r="AN37" s="149"/>
    </row>
    <row r="38" ht="17.25" customHeight="1">
      <c r="A38" s="121"/>
      <c r="B38" s="185" t="s">
        <v>56</v>
      </c>
      <c r="C38" s="188"/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88"/>
      <c r="P38" s="188"/>
      <c r="Q38" s="188"/>
      <c r="R38" s="188"/>
      <c r="S38" s="188"/>
      <c r="T38" s="188"/>
      <c r="U38" s="188"/>
      <c r="V38" s="188"/>
      <c r="W38" s="188"/>
      <c r="X38" s="188"/>
      <c r="Y38" s="188"/>
      <c r="Z38" s="188"/>
      <c r="AA38" s="188"/>
      <c r="AB38" s="188"/>
      <c r="AC38" s="188"/>
      <c r="AD38" s="188"/>
      <c r="AE38" s="188"/>
      <c r="AF38" s="188"/>
      <c r="AG38" s="188"/>
      <c r="AH38" s="149"/>
      <c r="AI38" s="187" t="str">
        <f t="shared" si="4"/>
        <v/>
      </c>
      <c r="AJ38" s="46"/>
      <c r="AK38" s="46"/>
      <c r="AL38" s="46"/>
      <c r="AM38" s="47"/>
      <c r="AN38" s="149"/>
    </row>
    <row r="39" ht="17.25" customHeight="1">
      <c r="A39" s="121"/>
      <c r="B39" s="185" t="s">
        <v>63</v>
      </c>
      <c r="C39" s="189"/>
      <c r="D39" s="189"/>
      <c r="E39" s="189"/>
      <c r="F39" s="189"/>
      <c r="G39" s="189"/>
      <c r="H39" s="189"/>
      <c r="I39" s="189"/>
      <c r="J39" s="189"/>
      <c r="K39" s="189"/>
      <c r="L39" s="189"/>
      <c r="M39" s="189"/>
      <c r="N39" s="189"/>
      <c r="O39" s="189"/>
      <c r="P39" s="189"/>
      <c r="Q39" s="189"/>
      <c r="R39" s="189"/>
      <c r="S39" s="189"/>
      <c r="T39" s="189"/>
      <c r="U39" s="189"/>
      <c r="V39" s="189"/>
      <c r="W39" s="189"/>
      <c r="X39" s="189"/>
      <c r="Y39" s="189"/>
      <c r="Z39" s="189"/>
      <c r="AA39" s="189"/>
      <c r="AB39" s="189"/>
      <c r="AC39" s="189"/>
      <c r="AD39" s="189"/>
      <c r="AE39" s="189"/>
      <c r="AF39" s="189"/>
      <c r="AG39" s="189"/>
      <c r="AH39" s="149"/>
      <c r="AI39" s="187" t="str">
        <f t="shared" si="4"/>
        <v/>
      </c>
      <c r="AJ39" s="46"/>
      <c r="AK39" s="46"/>
      <c r="AL39" s="46"/>
      <c r="AM39" s="47"/>
      <c r="AN39" s="149"/>
    </row>
    <row r="40" ht="17.25" customHeight="1">
      <c r="A40" s="121"/>
      <c r="B40" s="121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  <c r="AK40" s="149"/>
      <c r="AL40" s="149"/>
      <c r="AM40" s="149"/>
      <c r="AN40" s="149"/>
    </row>
    <row r="41" ht="17.25" customHeight="1">
      <c r="A41" s="121"/>
      <c r="B41" s="121"/>
      <c r="C41" s="149"/>
      <c r="D41" s="149"/>
      <c r="E41" s="149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  <c r="AB41" s="149"/>
      <c r="AC41" s="149"/>
      <c r="AD41" s="149"/>
      <c r="AE41" s="149"/>
      <c r="AF41" s="149"/>
      <c r="AG41" s="149"/>
      <c r="AH41" s="149"/>
      <c r="AI41" s="149"/>
      <c r="AJ41" s="149"/>
      <c r="AK41" s="149"/>
      <c r="AL41" s="149"/>
      <c r="AM41" s="149"/>
      <c r="AN41" s="149"/>
    </row>
    <row r="42" ht="17.25" customHeight="1">
      <c r="A42" s="121"/>
      <c r="B42" s="136" t="s">
        <v>58</v>
      </c>
      <c r="C42" s="190" t="s">
        <v>44</v>
      </c>
      <c r="D42" s="46"/>
      <c r="E42" s="46"/>
      <c r="F42" s="46"/>
      <c r="G42" s="46"/>
      <c r="H42" s="47"/>
      <c r="I42" s="151"/>
      <c r="J42" s="191" t="s">
        <v>45</v>
      </c>
      <c r="K42" s="46"/>
      <c r="L42" s="46"/>
      <c r="M42" s="46"/>
      <c r="N42" s="46"/>
      <c r="O42" s="47"/>
      <c r="P42" s="152"/>
      <c r="Q42" s="192" t="s">
        <v>46</v>
      </c>
      <c r="R42" s="46"/>
      <c r="S42" s="46"/>
      <c r="T42" s="46"/>
      <c r="U42" s="46"/>
      <c r="V42" s="47"/>
      <c r="W42" s="154"/>
      <c r="X42" s="193" t="s">
        <v>47</v>
      </c>
      <c r="Y42" s="46"/>
      <c r="Z42" s="46"/>
      <c r="AA42" s="46"/>
      <c r="AB42" s="46"/>
      <c r="AC42" s="47"/>
      <c r="AD42" s="153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</row>
    <row r="43" ht="17.25" customHeight="1">
      <c r="A43" s="121"/>
      <c r="B43" s="86"/>
      <c r="C43" s="194"/>
      <c r="D43" s="46"/>
      <c r="E43" s="46"/>
      <c r="F43" s="46"/>
      <c r="G43" s="46"/>
      <c r="H43" s="47"/>
      <c r="I43" s="195" t="b">
        <v>0</v>
      </c>
      <c r="J43" s="196"/>
      <c r="K43" s="46"/>
      <c r="L43" s="46"/>
      <c r="M43" s="46"/>
      <c r="N43" s="46"/>
      <c r="O43" s="47"/>
      <c r="P43" s="197" t="b">
        <v>0</v>
      </c>
      <c r="Q43" s="198"/>
      <c r="R43" s="46"/>
      <c r="S43" s="46"/>
      <c r="T43" s="46"/>
      <c r="U43" s="46"/>
      <c r="V43" s="47"/>
      <c r="W43" s="199" t="b">
        <v>0</v>
      </c>
      <c r="X43" s="200"/>
      <c r="Y43" s="46"/>
      <c r="Z43" s="46"/>
      <c r="AA43" s="46"/>
      <c r="AB43" s="46"/>
      <c r="AC43" s="47"/>
      <c r="AD43" s="201" t="b">
        <v>0</v>
      </c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</row>
    <row r="44" ht="17.25" customHeight="1">
      <c r="A44" s="121"/>
      <c r="B44" s="121"/>
      <c r="C44" s="194"/>
      <c r="D44" s="46"/>
      <c r="E44" s="46"/>
      <c r="F44" s="46"/>
      <c r="G44" s="46"/>
      <c r="H44" s="47"/>
      <c r="I44" s="195" t="b">
        <v>0</v>
      </c>
      <c r="J44" s="196"/>
      <c r="K44" s="46"/>
      <c r="L44" s="46"/>
      <c r="M44" s="46"/>
      <c r="N44" s="46"/>
      <c r="O44" s="47"/>
      <c r="P44" s="197" t="b">
        <v>0</v>
      </c>
      <c r="Q44" s="198"/>
      <c r="R44" s="46"/>
      <c r="S44" s="46"/>
      <c r="T44" s="46"/>
      <c r="U44" s="46"/>
      <c r="V44" s="47"/>
      <c r="W44" s="199" t="b">
        <v>0</v>
      </c>
      <c r="X44" s="200"/>
      <c r="Y44" s="46"/>
      <c r="Z44" s="46"/>
      <c r="AA44" s="46"/>
      <c r="AB44" s="46"/>
      <c r="AC44" s="47"/>
      <c r="AD44" s="201" t="b">
        <v>0</v>
      </c>
      <c r="AE44" s="121"/>
      <c r="AF44" s="121"/>
      <c r="AG44" s="202" t="s">
        <v>59</v>
      </c>
      <c r="AH44" s="121"/>
      <c r="AI44" s="121"/>
      <c r="AJ44" s="121"/>
      <c r="AK44" s="121"/>
      <c r="AL44" s="121"/>
      <c r="AM44" s="121"/>
      <c r="AN44" s="121"/>
    </row>
    <row r="45" ht="17.25" customHeight="1">
      <c r="A45" s="121"/>
      <c r="B45" s="121"/>
      <c r="C45" s="194"/>
      <c r="D45" s="46"/>
      <c r="E45" s="46"/>
      <c r="F45" s="46"/>
      <c r="G45" s="46"/>
      <c r="H45" s="47"/>
      <c r="I45" s="195" t="b">
        <v>0</v>
      </c>
      <c r="J45" s="196"/>
      <c r="K45" s="46"/>
      <c r="L45" s="46"/>
      <c r="M45" s="46"/>
      <c r="N45" s="46"/>
      <c r="O45" s="47"/>
      <c r="P45" s="197" t="b">
        <v>0</v>
      </c>
      <c r="Q45" s="198"/>
      <c r="R45" s="46"/>
      <c r="S45" s="46"/>
      <c r="T45" s="46"/>
      <c r="U45" s="46"/>
      <c r="V45" s="47"/>
      <c r="W45" s="199" t="b">
        <v>0</v>
      </c>
      <c r="X45" s="200"/>
      <c r="Y45" s="46"/>
      <c r="Z45" s="46"/>
      <c r="AA45" s="46"/>
      <c r="AB45" s="46"/>
      <c r="AC45" s="47"/>
      <c r="AD45" s="201" t="b">
        <v>0</v>
      </c>
      <c r="AE45" s="121"/>
      <c r="AF45" s="121"/>
      <c r="AG45" s="203">
        <v>12.0</v>
      </c>
      <c r="AH45" s="120"/>
      <c r="AI45" s="120"/>
      <c r="AJ45" s="120"/>
      <c r="AK45" s="120"/>
      <c r="AL45" s="120"/>
      <c r="AM45" s="120"/>
      <c r="AN45" s="120"/>
    </row>
    <row r="46" ht="17.25" customHeight="1">
      <c r="A46" s="121"/>
      <c r="B46" s="121"/>
      <c r="C46" s="194"/>
      <c r="D46" s="46"/>
      <c r="E46" s="46"/>
      <c r="F46" s="46"/>
      <c r="G46" s="46"/>
      <c r="H46" s="47"/>
      <c r="I46" s="195" t="b">
        <v>0</v>
      </c>
      <c r="J46" s="196"/>
      <c r="K46" s="46"/>
      <c r="L46" s="46"/>
      <c r="M46" s="46"/>
      <c r="N46" s="46"/>
      <c r="O46" s="47"/>
      <c r="P46" s="197" t="b">
        <v>0</v>
      </c>
      <c r="Q46" s="198"/>
      <c r="R46" s="46"/>
      <c r="S46" s="46"/>
      <c r="T46" s="46"/>
      <c r="U46" s="46"/>
      <c r="V46" s="47"/>
      <c r="W46" s="199" t="b">
        <v>0</v>
      </c>
      <c r="X46" s="200"/>
      <c r="Y46" s="46"/>
      <c r="Z46" s="46"/>
      <c r="AA46" s="46"/>
      <c r="AB46" s="46"/>
      <c r="AC46" s="47"/>
      <c r="AD46" s="201" t="b">
        <v>0</v>
      </c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</row>
    <row r="47" ht="17.25" customHeight="1">
      <c r="A47" s="121"/>
      <c r="B47" s="121"/>
      <c r="C47" s="194"/>
      <c r="D47" s="46"/>
      <c r="E47" s="46"/>
      <c r="F47" s="46"/>
      <c r="G47" s="46"/>
      <c r="H47" s="47"/>
      <c r="I47" s="195" t="b">
        <v>0</v>
      </c>
      <c r="J47" s="196"/>
      <c r="K47" s="46"/>
      <c r="L47" s="46"/>
      <c r="M47" s="46"/>
      <c r="N47" s="46"/>
      <c r="O47" s="47"/>
      <c r="P47" s="197" t="b">
        <v>0</v>
      </c>
      <c r="Q47" s="198"/>
      <c r="R47" s="46"/>
      <c r="S47" s="46"/>
      <c r="T47" s="46"/>
      <c r="U47" s="46"/>
      <c r="V47" s="47"/>
      <c r="W47" s="199" t="b">
        <v>0</v>
      </c>
      <c r="X47" s="200"/>
      <c r="Y47" s="46"/>
      <c r="Z47" s="46"/>
      <c r="AA47" s="46"/>
      <c r="AB47" s="46"/>
      <c r="AC47" s="47"/>
      <c r="AD47" s="201" t="b">
        <v>0</v>
      </c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</row>
    <row r="48" ht="17.25" customHeight="1">
      <c r="A48" s="121"/>
      <c r="B48" s="121"/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</row>
    <row r="49" ht="17.25" customHeight="1">
      <c r="A49" s="121"/>
      <c r="B49" s="136" t="s">
        <v>60</v>
      </c>
      <c r="C49" s="204"/>
      <c r="D49" s="50"/>
      <c r="E49" s="50"/>
      <c r="F49" s="50"/>
      <c r="G49" s="50"/>
      <c r="H49" s="50"/>
      <c r="I49" s="51"/>
      <c r="J49" s="204"/>
      <c r="K49" s="50"/>
      <c r="L49" s="50"/>
      <c r="M49" s="50"/>
      <c r="N49" s="50"/>
      <c r="O49" s="50"/>
      <c r="P49" s="51"/>
      <c r="Q49" s="204"/>
      <c r="R49" s="50"/>
      <c r="S49" s="50"/>
      <c r="T49" s="50"/>
      <c r="U49" s="50"/>
      <c r="V49" s="50"/>
      <c r="W49" s="51"/>
      <c r="X49" s="204"/>
      <c r="Y49" s="50"/>
      <c r="Z49" s="50"/>
      <c r="AA49" s="50"/>
      <c r="AB49" s="50"/>
      <c r="AC49" s="50"/>
      <c r="AD49" s="5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</row>
    <row r="50" ht="17.25" customHeight="1">
      <c r="A50" s="121"/>
      <c r="B50" s="205"/>
      <c r="C50" s="206"/>
      <c r="D50" s="55"/>
      <c r="E50" s="55"/>
      <c r="F50" s="55"/>
      <c r="G50" s="55"/>
      <c r="H50" s="55"/>
      <c r="I50" s="56"/>
      <c r="J50" s="206"/>
      <c r="K50" s="55"/>
      <c r="L50" s="55"/>
      <c r="M50" s="55"/>
      <c r="N50" s="55"/>
      <c r="O50" s="55"/>
      <c r="P50" s="56"/>
      <c r="Q50" s="206"/>
      <c r="R50" s="55"/>
      <c r="S50" s="55"/>
      <c r="T50" s="55"/>
      <c r="U50" s="55"/>
      <c r="V50" s="55"/>
      <c r="W50" s="56"/>
      <c r="X50" s="206"/>
      <c r="Y50" s="55"/>
      <c r="Z50" s="55"/>
      <c r="AA50" s="55"/>
      <c r="AB50" s="55"/>
      <c r="AC50" s="55"/>
      <c r="AD50" s="56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</row>
    <row r="51" ht="17.25" customHeight="1">
      <c r="A51" s="121"/>
      <c r="B51" s="86"/>
      <c r="C51" s="207"/>
      <c r="D51" s="60"/>
      <c r="E51" s="60"/>
      <c r="F51" s="60"/>
      <c r="G51" s="60"/>
      <c r="H51" s="60"/>
      <c r="I51" s="61"/>
      <c r="J51" s="207"/>
      <c r="K51" s="60"/>
      <c r="L51" s="60"/>
      <c r="M51" s="60"/>
      <c r="N51" s="60"/>
      <c r="O51" s="60"/>
      <c r="P51" s="61"/>
      <c r="Q51" s="207"/>
      <c r="R51" s="60"/>
      <c r="S51" s="60"/>
      <c r="T51" s="60"/>
      <c r="U51" s="60"/>
      <c r="V51" s="60"/>
      <c r="W51" s="61"/>
      <c r="X51" s="207"/>
      <c r="Y51" s="60"/>
      <c r="Z51" s="60"/>
      <c r="AA51" s="60"/>
      <c r="AB51" s="60"/>
      <c r="AC51" s="60"/>
      <c r="AD51" s="6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</row>
    <row r="52" ht="17.25" customHeight="1">
      <c r="A52" s="121"/>
      <c r="B52" s="121"/>
      <c r="C52" s="208"/>
      <c r="I52" s="170"/>
      <c r="J52" s="208"/>
      <c r="P52" s="170"/>
      <c r="Q52" s="208"/>
      <c r="W52" s="170"/>
      <c r="X52" s="208"/>
      <c r="AD52" s="170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</row>
    <row r="53" ht="17.25" customHeight="1">
      <c r="A53" s="121"/>
      <c r="B53" s="121"/>
      <c r="C53" s="121"/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</row>
    <row r="54" ht="17.25" customHeight="1">
      <c r="A54" s="121"/>
      <c r="B54" s="62" t="s">
        <v>61</v>
      </c>
      <c r="C54" s="209" t="s">
        <v>62</v>
      </c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7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</row>
    <row r="55" ht="17.25" customHeight="1">
      <c r="A55" s="121"/>
      <c r="B55" s="43"/>
      <c r="C55" s="210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7"/>
      <c r="P55" s="211" t="b">
        <v>0</v>
      </c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</row>
    <row r="56" ht="17.25" customHeight="1">
      <c r="A56" s="121"/>
      <c r="B56" s="212"/>
      <c r="C56" s="210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7"/>
      <c r="P56" s="211" t="b">
        <v>0</v>
      </c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</row>
    <row r="57" ht="17.25" customHeight="1">
      <c r="A57" s="121"/>
      <c r="B57" s="212"/>
      <c r="C57" s="210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7"/>
      <c r="P57" s="211" t="b">
        <v>0</v>
      </c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</row>
    <row r="58" ht="17.25" customHeight="1">
      <c r="A58" s="121"/>
      <c r="B58" s="212"/>
      <c r="C58" s="210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7"/>
      <c r="P58" s="211" t="b">
        <v>0</v>
      </c>
      <c r="Q58" s="121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  <c r="AL58" s="121"/>
      <c r="AM58" s="121"/>
      <c r="AN58" s="121"/>
    </row>
    <row r="59" ht="17.25" customHeight="1">
      <c r="A59" s="121"/>
      <c r="B59" s="212"/>
      <c r="C59" s="210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7"/>
      <c r="P59" s="211" t="b">
        <v>0</v>
      </c>
      <c r="Q59" s="121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1"/>
      <c r="AM59" s="121"/>
      <c r="AN59" s="121"/>
    </row>
    <row r="60" ht="17.25" customHeight="1">
      <c r="A60" s="121"/>
      <c r="B60" s="121"/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  <c r="AE60" s="121"/>
      <c r="AF60" s="121"/>
      <c r="AG60" s="121"/>
      <c r="AH60" s="121"/>
      <c r="AI60" s="121"/>
      <c r="AJ60" s="121"/>
      <c r="AK60" s="121"/>
      <c r="AL60" s="121"/>
      <c r="AM60" s="121"/>
      <c r="AN60" s="121"/>
    </row>
    <row r="61" ht="17.25" hidden="1" customHeight="1">
      <c r="A61" s="121"/>
      <c r="B61" s="121"/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1"/>
      <c r="AL61" s="121"/>
      <c r="AM61" s="121"/>
      <c r="AN61" s="121"/>
    </row>
    <row r="62" ht="17.25" hidden="1" customHeight="1">
      <c r="A62" s="121"/>
      <c r="B62" s="213">
        <f>COUNTIF($I$43:$I$47, true)</f>
        <v>0</v>
      </c>
      <c r="C62" s="214" t="str">
        <f t="array" ref="C62:H66">$C$43:$H$47</f>
        <v/>
      </c>
      <c r="D62" s="214"/>
      <c r="E62" s="214"/>
      <c r="F62" s="214"/>
      <c r="G62" s="214"/>
      <c r="H62" s="214"/>
      <c r="I62" s="213">
        <f t="array" ref="I62">COUNTA(UNIQUE($C$62:$C$140))</f>
        <v>0</v>
      </c>
      <c r="J62" s="215">
        <f>sum($B$62,$B$78,$B$110,$B$126)</f>
        <v>0</v>
      </c>
      <c r="K62" s="213">
        <f>sum(COUNTA($I$43:$I$47),COUNTA($P$43:$P$47),COUNTA($W$43:$W$47),COUNTA($AD$43:$AD$47),COUNTA($P$55:$P$59))</f>
        <v>25</v>
      </c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121"/>
      <c r="AK62" s="121"/>
      <c r="AL62" s="121"/>
      <c r="AM62" s="121"/>
      <c r="AN62" s="121"/>
    </row>
    <row r="63" ht="17.25" hidden="1" customHeight="1">
      <c r="A63" s="121"/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 s="121"/>
      <c r="AH63" s="121"/>
      <c r="AI63" s="121"/>
      <c r="AJ63" s="121"/>
      <c r="AK63" s="121"/>
      <c r="AL63" s="121"/>
      <c r="AM63" s="121"/>
      <c r="AN63" s="121"/>
    </row>
    <row r="64" ht="17.25" hidden="1" customHeight="1">
      <c r="A64" s="121"/>
      <c r="B64" s="214"/>
      <c r="C64" s="214"/>
      <c r="D64" s="214"/>
      <c r="E64" s="214"/>
      <c r="F64" s="214"/>
      <c r="G64" s="214"/>
      <c r="H64" s="214"/>
      <c r="I64" s="214"/>
      <c r="J64" s="214"/>
      <c r="K64" s="214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121"/>
      <c r="AK64" s="121"/>
      <c r="AL64" s="121"/>
      <c r="AM64" s="121"/>
      <c r="AN64" s="121"/>
    </row>
    <row r="65" ht="17.25" hidden="1" customHeight="1">
      <c r="A65" s="121"/>
      <c r="B65" s="214"/>
      <c r="C65" s="214"/>
      <c r="D65" s="214"/>
      <c r="E65" s="214"/>
      <c r="F65" s="214"/>
      <c r="G65" s="214"/>
      <c r="H65" s="214"/>
      <c r="I65" s="214"/>
      <c r="J65" s="214"/>
      <c r="K65" s="214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1"/>
      <c r="AI65" s="121"/>
      <c r="AJ65" s="121"/>
      <c r="AK65" s="121"/>
      <c r="AL65" s="121"/>
      <c r="AM65" s="121"/>
      <c r="AN65" s="121"/>
    </row>
    <row r="66" ht="17.25" hidden="1" customHeight="1">
      <c r="A66" s="121"/>
      <c r="B66" s="214"/>
      <c r="C66" s="214"/>
      <c r="D66" s="214"/>
      <c r="E66" s="214"/>
      <c r="F66" s="214"/>
      <c r="G66" s="214"/>
      <c r="H66" s="214"/>
      <c r="I66" s="214"/>
      <c r="J66" s="214"/>
      <c r="K66" s="214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  <c r="AA66" s="121"/>
      <c r="AB66" s="121"/>
      <c r="AC66" s="121"/>
      <c r="AD66" s="121"/>
      <c r="AE66" s="121"/>
      <c r="AF66" s="121"/>
      <c r="AG66" s="121"/>
      <c r="AH66" s="121"/>
      <c r="AI66" s="121"/>
      <c r="AJ66" s="121"/>
      <c r="AK66" s="121"/>
      <c r="AL66" s="121"/>
      <c r="AM66" s="121"/>
      <c r="AN66" s="121"/>
    </row>
    <row r="67" ht="17.25" hidden="1" customHeight="1">
      <c r="A67" s="121"/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1"/>
      <c r="AJ67" s="121"/>
      <c r="AK67" s="121"/>
      <c r="AL67" s="121"/>
      <c r="AM67" s="121"/>
      <c r="AN67" s="121"/>
    </row>
    <row r="68" ht="17.25" hidden="1" customHeight="1">
      <c r="A68" s="121"/>
      <c r="B68" s="214"/>
      <c r="C68" s="214"/>
      <c r="D68" s="214"/>
      <c r="E68" s="214"/>
      <c r="F68" s="214"/>
      <c r="G68" s="214"/>
      <c r="H68" s="214"/>
      <c r="I68" s="214"/>
      <c r="J68" s="214"/>
      <c r="K68" s="214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  <c r="AA68" s="121"/>
      <c r="AB68" s="121"/>
      <c r="AC68" s="121"/>
      <c r="AD68" s="121"/>
      <c r="AE68" s="121"/>
      <c r="AF68" s="121"/>
      <c r="AG68" s="121"/>
      <c r="AH68" s="121"/>
      <c r="AI68" s="121"/>
      <c r="AJ68" s="121"/>
      <c r="AK68" s="121"/>
      <c r="AL68" s="121"/>
      <c r="AM68" s="121"/>
      <c r="AN68" s="121"/>
    </row>
    <row r="69" ht="17.25" hidden="1" customHeight="1">
      <c r="A69" s="121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  <c r="AC69" s="121"/>
      <c r="AD69" s="121"/>
      <c r="AE69" s="121"/>
      <c r="AF69" s="121"/>
      <c r="AG69" s="121"/>
      <c r="AH69" s="121"/>
      <c r="AI69" s="121"/>
      <c r="AJ69" s="121"/>
      <c r="AK69" s="121"/>
      <c r="AL69" s="121"/>
      <c r="AM69" s="121"/>
      <c r="AN69" s="121"/>
    </row>
    <row r="70" ht="17.25" hidden="1" customHeight="1">
      <c r="A70" s="121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  <c r="AC70" s="121"/>
      <c r="AD70" s="121"/>
      <c r="AE70" s="121"/>
      <c r="AF70" s="121"/>
      <c r="AG70" s="121"/>
      <c r="AH70" s="121"/>
      <c r="AI70" s="121"/>
      <c r="AJ70" s="121"/>
      <c r="AK70" s="121"/>
      <c r="AL70" s="121"/>
      <c r="AM70" s="121"/>
      <c r="AN70" s="121"/>
    </row>
    <row r="71" ht="17.25" hidden="1" customHeight="1">
      <c r="A71" s="121"/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  <c r="AD71" s="121"/>
      <c r="AE71" s="121"/>
      <c r="AF71" s="121"/>
      <c r="AG71" s="121"/>
      <c r="AH71" s="121"/>
      <c r="AI71" s="121"/>
      <c r="AJ71" s="121"/>
      <c r="AK71" s="121"/>
      <c r="AL71" s="121"/>
      <c r="AM71" s="121"/>
      <c r="AN71" s="121"/>
    </row>
    <row r="72" ht="17.25" hidden="1" customHeight="1">
      <c r="A72" s="121"/>
      <c r="B72" s="214"/>
      <c r="C72" s="214"/>
      <c r="D72" s="214"/>
      <c r="E72" s="214"/>
      <c r="F72" s="214"/>
      <c r="G72" s="214"/>
      <c r="H72" s="214"/>
      <c r="I72" s="214"/>
      <c r="J72" s="214"/>
      <c r="K72" s="214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  <c r="AD72" s="121"/>
      <c r="AE72" s="121"/>
      <c r="AF72" s="121"/>
      <c r="AG72" s="121"/>
      <c r="AH72" s="121"/>
      <c r="AI72" s="121"/>
      <c r="AJ72" s="121"/>
      <c r="AK72" s="121"/>
      <c r="AL72" s="121"/>
      <c r="AM72" s="121"/>
      <c r="AN72" s="121"/>
    </row>
    <row r="73" ht="17.25" hidden="1" customHeight="1">
      <c r="A73" s="121"/>
      <c r="B73" s="214"/>
      <c r="C73" s="214"/>
      <c r="D73" s="214"/>
      <c r="E73" s="214"/>
      <c r="F73" s="214"/>
      <c r="G73" s="214"/>
      <c r="H73" s="214"/>
      <c r="I73" s="214"/>
      <c r="J73" s="214"/>
      <c r="K73" s="214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  <c r="AA73" s="121"/>
      <c r="AB73" s="121"/>
      <c r="AC73" s="121"/>
      <c r="AD73" s="121"/>
      <c r="AE73" s="121"/>
      <c r="AF73" s="121"/>
      <c r="AG73" s="121"/>
      <c r="AH73" s="121"/>
      <c r="AI73" s="121"/>
      <c r="AJ73" s="121"/>
      <c r="AK73" s="121"/>
      <c r="AL73" s="121"/>
      <c r="AM73" s="121"/>
      <c r="AN73" s="121"/>
    </row>
    <row r="74" ht="17.25" hidden="1" customHeight="1">
      <c r="A74" s="121"/>
      <c r="B74" s="214"/>
      <c r="C74" s="214"/>
      <c r="D74" s="214"/>
      <c r="E74" s="214"/>
      <c r="F74" s="214"/>
      <c r="G74" s="214"/>
      <c r="H74" s="214"/>
      <c r="I74" s="214"/>
      <c r="J74" s="214"/>
      <c r="K74" s="214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  <c r="AD74" s="121"/>
      <c r="AE74" s="121"/>
      <c r="AF74" s="121"/>
      <c r="AG74" s="121"/>
      <c r="AH74" s="121"/>
      <c r="AI74" s="121"/>
      <c r="AJ74" s="121"/>
      <c r="AK74" s="121"/>
      <c r="AL74" s="121"/>
      <c r="AM74" s="121"/>
      <c r="AN74" s="121"/>
    </row>
    <row r="75" ht="17.25" hidden="1" customHeight="1">
      <c r="A75" s="121"/>
      <c r="B75" s="214"/>
      <c r="C75" s="214"/>
      <c r="D75" s="214"/>
      <c r="E75" s="214"/>
      <c r="F75" s="214"/>
      <c r="G75" s="214"/>
      <c r="H75" s="214"/>
      <c r="I75" s="214"/>
      <c r="J75" s="214"/>
      <c r="K75" s="214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  <c r="AD75" s="121"/>
      <c r="AE75" s="121"/>
      <c r="AF75" s="121"/>
      <c r="AG75" s="121"/>
      <c r="AH75" s="121"/>
      <c r="AI75" s="121"/>
      <c r="AJ75" s="121"/>
      <c r="AK75" s="121"/>
      <c r="AL75" s="121"/>
      <c r="AM75" s="121"/>
      <c r="AN75" s="121"/>
    </row>
    <row r="76" ht="17.25" hidden="1" customHeight="1">
      <c r="A76" s="121"/>
      <c r="B76" s="214"/>
      <c r="C76" s="214"/>
      <c r="D76" s="214"/>
      <c r="E76" s="214"/>
      <c r="F76" s="214"/>
      <c r="G76" s="214"/>
      <c r="H76" s="214"/>
      <c r="I76" s="214"/>
      <c r="J76" s="214"/>
      <c r="K76" s="214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  <c r="AC76" s="121"/>
      <c r="AD76" s="121"/>
      <c r="AE76" s="121"/>
      <c r="AF76" s="121"/>
      <c r="AG76" s="121"/>
      <c r="AH76" s="121"/>
      <c r="AI76" s="121"/>
      <c r="AJ76" s="121"/>
      <c r="AK76" s="121"/>
      <c r="AL76" s="121"/>
      <c r="AM76" s="121"/>
      <c r="AN76" s="121"/>
    </row>
    <row r="77" ht="17.25" hidden="1" customHeight="1">
      <c r="A77" s="121"/>
      <c r="B77" s="214"/>
      <c r="C77" s="214"/>
      <c r="D77" s="214"/>
      <c r="E77" s="214"/>
      <c r="F77" s="214"/>
      <c r="G77" s="214"/>
      <c r="H77" s="214"/>
      <c r="I77" s="214"/>
      <c r="J77" s="214"/>
      <c r="K77" s="214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  <c r="AD77" s="121"/>
      <c r="AE77" s="121"/>
      <c r="AF77" s="121"/>
      <c r="AG77" s="121"/>
      <c r="AH77" s="121"/>
      <c r="AI77" s="121"/>
      <c r="AJ77" s="121"/>
      <c r="AK77" s="121"/>
      <c r="AL77" s="121"/>
      <c r="AM77" s="121"/>
      <c r="AN77" s="121"/>
    </row>
    <row r="78" ht="17.25" hidden="1" customHeight="1">
      <c r="A78" s="121"/>
      <c r="B78" s="213">
        <f>COUNTIF($P$43:$P$47, true)</f>
        <v>0</v>
      </c>
      <c r="C78" s="214" t="str">
        <f t="array" ref="C78:H82">$J$43:$O$47</f>
        <v/>
      </c>
      <c r="D78" s="214"/>
      <c r="E78" s="214"/>
      <c r="F78" s="214"/>
      <c r="G78" s="214"/>
      <c r="H78" s="214"/>
      <c r="I78" s="214"/>
      <c r="J78" s="214"/>
      <c r="K78" s="214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  <c r="AD78" s="121"/>
      <c r="AE78" s="121"/>
      <c r="AF78" s="121"/>
      <c r="AG78" s="121"/>
      <c r="AH78" s="121"/>
      <c r="AI78" s="121"/>
      <c r="AJ78" s="121"/>
      <c r="AK78" s="121"/>
      <c r="AL78" s="121"/>
      <c r="AM78" s="121"/>
      <c r="AN78" s="121"/>
    </row>
    <row r="79" ht="17.25" hidden="1" customHeight="1">
      <c r="A79" s="121"/>
      <c r="B79" s="214"/>
      <c r="C79" s="214"/>
      <c r="D79" s="214"/>
      <c r="E79" s="214"/>
      <c r="F79" s="214"/>
      <c r="G79" s="214"/>
      <c r="H79" s="214"/>
      <c r="I79" s="214"/>
      <c r="J79" s="214"/>
      <c r="K79" s="214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  <c r="AC79" s="121"/>
      <c r="AD79" s="121"/>
      <c r="AE79" s="121"/>
      <c r="AF79" s="121"/>
      <c r="AG79" s="121"/>
      <c r="AH79" s="121"/>
      <c r="AI79" s="121"/>
      <c r="AJ79" s="121"/>
      <c r="AK79" s="121"/>
      <c r="AL79" s="121"/>
      <c r="AM79" s="121"/>
      <c r="AN79" s="121"/>
    </row>
    <row r="80" ht="17.25" hidden="1" customHeight="1">
      <c r="A80" s="121"/>
      <c r="B80" s="214"/>
      <c r="C80" s="214"/>
      <c r="D80" s="214"/>
      <c r="E80" s="214"/>
      <c r="F80" s="214"/>
      <c r="G80" s="214"/>
      <c r="H80" s="214"/>
      <c r="I80" s="214"/>
      <c r="J80" s="214"/>
      <c r="K80" s="214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  <c r="AA80" s="121"/>
      <c r="AB80" s="121"/>
      <c r="AC80" s="121"/>
      <c r="AD80" s="121"/>
      <c r="AE80" s="121"/>
      <c r="AF80" s="121"/>
      <c r="AG80" s="121"/>
      <c r="AH80" s="121"/>
      <c r="AI80" s="121"/>
      <c r="AJ80" s="121"/>
      <c r="AK80" s="121"/>
      <c r="AL80" s="121"/>
      <c r="AM80" s="121"/>
      <c r="AN80" s="121"/>
    </row>
    <row r="81" ht="17.25" hidden="1" customHeight="1">
      <c r="A81" s="121"/>
      <c r="B81" s="214"/>
      <c r="C81" s="214"/>
      <c r="D81" s="214"/>
      <c r="E81" s="214"/>
      <c r="F81" s="214"/>
      <c r="G81" s="214"/>
      <c r="H81" s="214"/>
      <c r="I81" s="214"/>
      <c r="J81" s="214"/>
      <c r="K81" s="214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1"/>
      <c r="AG81" s="121"/>
      <c r="AH81" s="121"/>
      <c r="AI81" s="121"/>
      <c r="AJ81" s="121"/>
      <c r="AK81" s="121"/>
      <c r="AL81" s="121"/>
      <c r="AM81" s="121"/>
      <c r="AN81" s="121"/>
    </row>
    <row r="82" ht="17.25" hidden="1" customHeight="1">
      <c r="A82" s="121"/>
      <c r="B82" s="214"/>
      <c r="C82" s="214"/>
      <c r="D82" s="214"/>
      <c r="E82" s="214"/>
      <c r="F82" s="214"/>
      <c r="G82" s="214"/>
      <c r="H82" s="214"/>
      <c r="I82" s="214"/>
      <c r="J82" s="214"/>
      <c r="K82" s="214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</row>
    <row r="83" ht="17.25" hidden="1" customHeight="1">
      <c r="A83" s="121"/>
      <c r="B83" s="214"/>
      <c r="C83" s="214"/>
      <c r="D83" s="214"/>
      <c r="E83" s="214"/>
      <c r="F83" s="214"/>
      <c r="G83" s="214"/>
      <c r="H83" s="214"/>
      <c r="I83" s="214"/>
      <c r="J83" s="214"/>
      <c r="K83" s="214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</row>
    <row r="84" ht="17.25" hidden="1" customHeight="1">
      <c r="A84" s="121"/>
      <c r="B84" s="214"/>
      <c r="C84" s="214"/>
      <c r="D84" s="214"/>
      <c r="E84" s="214"/>
      <c r="F84" s="214"/>
      <c r="G84" s="214"/>
      <c r="H84" s="214"/>
      <c r="I84" s="214"/>
      <c r="J84" s="214"/>
      <c r="K84" s="214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1"/>
      <c r="AE84" s="121"/>
      <c r="AF84" s="121"/>
      <c r="AG84" s="121"/>
      <c r="AH84" s="121"/>
      <c r="AI84" s="121"/>
      <c r="AJ84" s="121"/>
      <c r="AK84" s="121"/>
      <c r="AL84" s="121"/>
      <c r="AM84" s="121"/>
      <c r="AN84" s="121"/>
    </row>
    <row r="85" ht="17.25" hidden="1" customHeight="1">
      <c r="A85" s="121"/>
      <c r="B85" s="214"/>
      <c r="C85" s="214"/>
      <c r="D85" s="214"/>
      <c r="E85" s="214"/>
      <c r="F85" s="214"/>
      <c r="G85" s="214"/>
      <c r="H85" s="214"/>
      <c r="I85" s="214"/>
      <c r="J85" s="214"/>
      <c r="K85" s="214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1"/>
      <c r="AL85" s="121"/>
      <c r="AM85" s="121"/>
      <c r="AN85" s="121"/>
    </row>
    <row r="86" ht="17.25" hidden="1" customHeight="1">
      <c r="A86" s="121"/>
      <c r="B86" s="214"/>
      <c r="C86" s="214"/>
      <c r="D86" s="214"/>
      <c r="E86" s="214"/>
      <c r="F86" s="214"/>
      <c r="G86" s="214"/>
      <c r="H86" s="214"/>
      <c r="I86" s="214"/>
      <c r="J86" s="214"/>
      <c r="K86" s="214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</row>
    <row r="87" ht="17.25" hidden="1" customHeight="1">
      <c r="A87" s="121"/>
      <c r="B87" s="214"/>
      <c r="C87" s="214"/>
      <c r="D87" s="214"/>
      <c r="E87" s="214"/>
      <c r="F87" s="214"/>
      <c r="G87" s="214"/>
      <c r="H87" s="214"/>
      <c r="I87" s="214"/>
      <c r="J87" s="214"/>
      <c r="K87" s="214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</row>
    <row r="88" ht="17.25" hidden="1" customHeight="1">
      <c r="A88" s="121"/>
      <c r="B88" s="214"/>
      <c r="C88" s="214"/>
      <c r="D88" s="214"/>
      <c r="E88" s="214"/>
      <c r="F88" s="214"/>
      <c r="G88" s="214"/>
      <c r="H88" s="214"/>
      <c r="I88" s="214"/>
      <c r="J88" s="214"/>
      <c r="K88" s="214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</row>
    <row r="89" ht="17.25" hidden="1" customHeight="1">
      <c r="A89" s="121"/>
      <c r="B89" s="214"/>
      <c r="C89" s="214"/>
      <c r="D89" s="214"/>
      <c r="E89" s="214"/>
      <c r="F89" s="214"/>
      <c r="G89" s="214"/>
      <c r="H89" s="214"/>
      <c r="I89" s="214"/>
      <c r="J89" s="214"/>
      <c r="K89" s="214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</row>
    <row r="90" ht="17.25" hidden="1" customHeight="1">
      <c r="A90" s="121"/>
      <c r="B90" s="214"/>
      <c r="C90" s="214"/>
      <c r="D90" s="214"/>
      <c r="E90" s="214"/>
      <c r="F90" s="214"/>
      <c r="G90" s="214"/>
      <c r="H90" s="214"/>
      <c r="I90" s="214"/>
      <c r="J90" s="214"/>
      <c r="K90" s="214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</row>
    <row r="91" ht="17.25" hidden="1" customHeight="1">
      <c r="A91" s="121"/>
      <c r="B91" s="214"/>
      <c r="C91" s="214"/>
      <c r="D91" s="214"/>
      <c r="E91" s="214"/>
      <c r="F91" s="214"/>
      <c r="G91" s="214"/>
      <c r="H91" s="214"/>
      <c r="I91" s="214"/>
      <c r="J91" s="214"/>
      <c r="K91" s="214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</row>
    <row r="92" ht="17.25" hidden="1" customHeight="1">
      <c r="A92" s="121"/>
      <c r="B92" s="214"/>
      <c r="C92" s="214"/>
      <c r="D92" s="214"/>
      <c r="E92" s="214"/>
      <c r="F92" s="214"/>
      <c r="G92" s="214"/>
      <c r="H92" s="214"/>
      <c r="I92" s="214"/>
      <c r="J92" s="214"/>
      <c r="K92" s="214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</row>
    <row r="93" ht="17.25" hidden="1" customHeight="1">
      <c r="A93" s="121"/>
      <c r="B93" s="214"/>
      <c r="C93" s="214"/>
      <c r="D93" s="214"/>
      <c r="E93" s="214"/>
      <c r="F93" s="214"/>
      <c r="G93" s="214"/>
      <c r="H93" s="214"/>
      <c r="I93" s="214"/>
      <c r="J93" s="214"/>
      <c r="K93" s="214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</row>
    <row r="94" ht="17.25" hidden="1" customHeight="1">
      <c r="A94" s="121"/>
      <c r="B94" s="213">
        <f>COUNTIF($W$43:$W$47, true)</f>
        <v>0</v>
      </c>
      <c r="C94" s="214" t="str">
        <f t="array" ref="C94:H98">$Q$43:$V$47</f>
        <v/>
      </c>
      <c r="D94" s="214"/>
      <c r="E94" s="214"/>
      <c r="F94" s="214"/>
      <c r="G94" s="214"/>
      <c r="H94" s="214"/>
      <c r="I94" s="214"/>
      <c r="J94" s="214"/>
      <c r="K94" s="214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</row>
    <row r="95" ht="17.25" hidden="1" customHeight="1">
      <c r="A95" s="121"/>
      <c r="B95" s="214"/>
      <c r="C95" s="214"/>
      <c r="D95" s="214"/>
      <c r="E95" s="214"/>
      <c r="F95" s="214"/>
      <c r="G95" s="214"/>
      <c r="H95" s="214"/>
      <c r="I95" s="214"/>
      <c r="J95" s="214"/>
      <c r="K95" s="214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</row>
    <row r="96" ht="17.25" hidden="1" customHeight="1">
      <c r="A96" s="121"/>
      <c r="B96" s="214"/>
      <c r="C96" s="214"/>
      <c r="D96" s="214"/>
      <c r="E96" s="214"/>
      <c r="F96" s="214"/>
      <c r="G96" s="214"/>
      <c r="H96" s="214"/>
      <c r="I96" s="214"/>
      <c r="J96" s="214"/>
      <c r="K96" s="214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1"/>
      <c r="AH96" s="121"/>
      <c r="AI96" s="121"/>
      <c r="AJ96" s="121"/>
      <c r="AK96" s="121"/>
      <c r="AL96" s="121"/>
      <c r="AM96" s="121"/>
      <c r="AN96" s="121"/>
    </row>
    <row r="97" ht="17.25" hidden="1" customHeight="1">
      <c r="A97" s="121"/>
      <c r="B97" s="214"/>
      <c r="C97" s="214"/>
      <c r="D97" s="214"/>
      <c r="E97" s="214"/>
      <c r="F97" s="214"/>
      <c r="G97" s="214"/>
      <c r="H97" s="214"/>
      <c r="I97" s="214"/>
      <c r="J97" s="214"/>
      <c r="K97" s="214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  <c r="AA97" s="121"/>
      <c r="AB97" s="121"/>
      <c r="AC97" s="121"/>
      <c r="AD97" s="121"/>
      <c r="AE97" s="121"/>
      <c r="AF97" s="121"/>
      <c r="AG97" s="121"/>
      <c r="AH97" s="121"/>
      <c r="AI97" s="121"/>
      <c r="AJ97" s="121"/>
      <c r="AK97" s="121"/>
      <c r="AL97" s="121"/>
      <c r="AM97" s="121"/>
      <c r="AN97" s="121"/>
    </row>
    <row r="98" ht="17.25" hidden="1" customHeight="1">
      <c r="A98" s="121"/>
      <c r="B98" s="214"/>
      <c r="C98" s="214"/>
      <c r="D98" s="214"/>
      <c r="E98" s="214"/>
      <c r="F98" s="214"/>
      <c r="G98" s="214"/>
      <c r="H98" s="214"/>
      <c r="I98" s="214"/>
      <c r="J98" s="214"/>
      <c r="K98" s="214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1"/>
      <c r="AH98" s="121"/>
      <c r="AI98" s="121"/>
      <c r="AJ98" s="121"/>
      <c r="AK98" s="121"/>
      <c r="AL98" s="121"/>
      <c r="AM98" s="121"/>
      <c r="AN98" s="121"/>
    </row>
    <row r="99" ht="17.25" hidden="1" customHeight="1">
      <c r="A99" s="121"/>
      <c r="B99" s="214"/>
      <c r="C99" s="214"/>
      <c r="D99" s="214"/>
      <c r="E99" s="214"/>
      <c r="F99" s="214"/>
      <c r="G99" s="214"/>
      <c r="H99" s="214"/>
      <c r="I99" s="214"/>
      <c r="J99" s="214"/>
      <c r="K99" s="214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  <c r="AA99" s="121"/>
      <c r="AB99" s="121"/>
      <c r="AC99" s="121"/>
      <c r="AD99" s="121"/>
      <c r="AE99" s="121"/>
      <c r="AF99" s="121"/>
      <c r="AG99" s="121"/>
      <c r="AH99" s="121"/>
      <c r="AI99" s="121"/>
      <c r="AJ99" s="121"/>
      <c r="AK99" s="121"/>
      <c r="AL99" s="121"/>
      <c r="AM99" s="121"/>
      <c r="AN99" s="121"/>
    </row>
    <row r="100" ht="17.25" hidden="1" customHeight="1">
      <c r="A100" s="121"/>
      <c r="B100" s="214"/>
      <c r="C100" s="214"/>
      <c r="D100" s="214"/>
      <c r="E100" s="214"/>
      <c r="F100" s="214"/>
      <c r="G100" s="214"/>
      <c r="H100" s="214"/>
      <c r="I100" s="214"/>
      <c r="J100" s="214"/>
      <c r="K100" s="214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  <c r="AA100" s="121"/>
      <c r="AB100" s="121"/>
      <c r="AC100" s="121"/>
      <c r="AD100" s="121"/>
      <c r="AE100" s="121"/>
      <c r="AF100" s="121"/>
      <c r="AG100" s="121"/>
      <c r="AH100" s="121"/>
      <c r="AI100" s="121"/>
      <c r="AJ100" s="121"/>
      <c r="AK100" s="121"/>
      <c r="AL100" s="121"/>
      <c r="AM100" s="121"/>
      <c r="AN100" s="121"/>
    </row>
    <row r="101" ht="17.25" hidden="1" customHeight="1">
      <c r="A101" s="121"/>
      <c r="B101" s="214"/>
      <c r="C101" s="214"/>
      <c r="D101" s="214"/>
      <c r="E101" s="214"/>
      <c r="F101" s="214"/>
      <c r="G101" s="214"/>
      <c r="H101" s="214"/>
      <c r="I101" s="214"/>
      <c r="J101" s="214"/>
      <c r="K101" s="214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  <c r="AA101" s="121"/>
      <c r="AB101" s="121"/>
      <c r="AC101" s="121"/>
      <c r="AD101" s="121"/>
      <c r="AE101" s="121"/>
      <c r="AF101" s="121"/>
      <c r="AG101" s="121"/>
      <c r="AH101" s="121"/>
      <c r="AI101" s="121"/>
      <c r="AJ101" s="121"/>
      <c r="AK101" s="121"/>
      <c r="AL101" s="121"/>
      <c r="AM101" s="121"/>
      <c r="AN101" s="121"/>
    </row>
    <row r="102" ht="17.25" hidden="1" customHeight="1">
      <c r="A102" s="121"/>
      <c r="B102" s="214"/>
      <c r="C102" s="214"/>
      <c r="D102" s="214"/>
      <c r="E102" s="214"/>
      <c r="F102" s="214"/>
      <c r="G102" s="214"/>
      <c r="H102" s="214"/>
      <c r="I102" s="214"/>
      <c r="J102" s="214"/>
      <c r="K102" s="214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  <c r="AA102" s="121"/>
      <c r="AB102" s="121"/>
      <c r="AC102" s="121"/>
      <c r="AD102" s="121"/>
      <c r="AE102" s="121"/>
      <c r="AF102" s="121"/>
      <c r="AG102" s="121"/>
      <c r="AH102" s="121"/>
      <c r="AI102" s="121"/>
      <c r="AJ102" s="121"/>
      <c r="AK102" s="121"/>
      <c r="AL102" s="121"/>
      <c r="AM102" s="121"/>
      <c r="AN102" s="121"/>
    </row>
    <row r="103" ht="17.25" hidden="1" customHeight="1">
      <c r="A103" s="121"/>
      <c r="B103" s="214"/>
      <c r="C103" s="214"/>
      <c r="D103" s="214"/>
      <c r="E103" s="214"/>
      <c r="F103" s="214"/>
      <c r="G103" s="214"/>
      <c r="H103" s="214"/>
      <c r="I103" s="214"/>
      <c r="J103" s="214"/>
      <c r="K103" s="214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  <c r="AA103" s="121"/>
      <c r="AB103" s="121"/>
      <c r="AC103" s="121"/>
      <c r="AD103" s="121"/>
      <c r="AE103" s="121"/>
      <c r="AF103" s="121"/>
      <c r="AG103" s="121"/>
      <c r="AH103" s="121"/>
      <c r="AI103" s="121"/>
      <c r="AJ103" s="121"/>
      <c r="AK103" s="121"/>
      <c r="AL103" s="121"/>
      <c r="AM103" s="121"/>
      <c r="AN103" s="121"/>
    </row>
    <row r="104" ht="17.25" hidden="1" customHeight="1">
      <c r="A104" s="121"/>
      <c r="B104" s="214"/>
      <c r="C104" s="214"/>
      <c r="D104" s="214"/>
      <c r="E104" s="214"/>
      <c r="F104" s="214"/>
      <c r="G104" s="214"/>
      <c r="H104" s="214"/>
      <c r="I104" s="214"/>
      <c r="J104" s="214"/>
      <c r="K104" s="214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  <c r="AA104" s="121"/>
      <c r="AB104" s="121"/>
      <c r="AC104" s="121"/>
      <c r="AD104" s="121"/>
      <c r="AE104" s="121"/>
      <c r="AF104" s="121"/>
      <c r="AG104" s="121"/>
      <c r="AH104" s="121"/>
      <c r="AI104" s="121"/>
      <c r="AJ104" s="121"/>
      <c r="AK104" s="121"/>
      <c r="AL104" s="121"/>
      <c r="AM104" s="121"/>
      <c r="AN104" s="121"/>
    </row>
    <row r="105" ht="17.25" hidden="1" customHeight="1">
      <c r="A105" s="121"/>
      <c r="B105" s="214"/>
      <c r="C105" s="214"/>
      <c r="D105" s="214"/>
      <c r="E105" s="214"/>
      <c r="F105" s="214"/>
      <c r="G105" s="214"/>
      <c r="H105" s="214"/>
      <c r="I105" s="214"/>
      <c r="J105" s="214"/>
      <c r="K105" s="214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  <c r="AA105" s="121"/>
      <c r="AB105" s="121"/>
      <c r="AC105" s="121"/>
      <c r="AD105" s="121"/>
      <c r="AE105" s="121"/>
      <c r="AF105" s="121"/>
      <c r="AG105" s="121"/>
      <c r="AH105" s="121"/>
      <c r="AI105" s="121"/>
      <c r="AJ105" s="121"/>
      <c r="AK105" s="121"/>
      <c r="AL105" s="121"/>
      <c r="AM105" s="121"/>
      <c r="AN105" s="121"/>
    </row>
    <row r="106" ht="17.25" hidden="1" customHeight="1">
      <c r="A106" s="121"/>
      <c r="B106" s="214"/>
      <c r="C106" s="214"/>
      <c r="D106" s="214"/>
      <c r="E106" s="214"/>
      <c r="F106" s="214"/>
      <c r="G106" s="214"/>
      <c r="H106" s="214"/>
      <c r="I106" s="214"/>
      <c r="J106" s="214"/>
      <c r="K106" s="214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  <c r="AA106" s="121"/>
      <c r="AB106" s="121"/>
      <c r="AC106" s="121"/>
      <c r="AD106" s="121"/>
      <c r="AE106" s="121"/>
      <c r="AF106" s="121"/>
      <c r="AG106" s="121"/>
      <c r="AH106" s="121"/>
      <c r="AI106" s="121"/>
      <c r="AJ106" s="121"/>
      <c r="AK106" s="121"/>
      <c r="AL106" s="121"/>
      <c r="AM106" s="121"/>
      <c r="AN106" s="121"/>
    </row>
    <row r="107" ht="17.25" hidden="1" customHeight="1">
      <c r="A107" s="121"/>
      <c r="B107" s="214"/>
      <c r="C107" s="214"/>
      <c r="D107" s="214"/>
      <c r="E107" s="214"/>
      <c r="F107" s="214"/>
      <c r="G107" s="214"/>
      <c r="H107" s="214"/>
      <c r="I107" s="214"/>
      <c r="J107" s="214"/>
      <c r="K107" s="214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  <c r="AA107" s="121"/>
      <c r="AB107" s="121"/>
      <c r="AC107" s="121"/>
      <c r="AD107" s="121"/>
      <c r="AE107" s="121"/>
      <c r="AF107" s="121"/>
      <c r="AG107" s="121"/>
      <c r="AH107" s="121"/>
      <c r="AI107" s="121"/>
      <c r="AJ107" s="121"/>
      <c r="AK107" s="121"/>
      <c r="AL107" s="121"/>
      <c r="AM107" s="121"/>
      <c r="AN107" s="121"/>
    </row>
    <row r="108" ht="17.25" hidden="1" customHeight="1">
      <c r="A108" s="121"/>
      <c r="B108" s="214"/>
      <c r="C108" s="214"/>
      <c r="D108" s="214"/>
      <c r="E108" s="214"/>
      <c r="F108" s="214"/>
      <c r="G108" s="214"/>
      <c r="H108" s="214"/>
      <c r="I108" s="214"/>
      <c r="J108" s="214"/>
      <c r="K108" s="214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  <c r="AA108" s="121"/>
      <c r="AB108" s="121"/>
      <c r="AC108" s="121"/>
      <c r="AD108" s="121"/>
      <c r="AE108" s="121"/>
      <c r="AF108" s="121"/>
      <c r="AG108" s="121"/>
      <c r="AH108" s="121"/>
      <c r="AI108" s="121"/>
      <c r="AJ108" s="121"/>
      <c r="AK108" s="121"/>
      <c r="AL108" s="121"/>
      <c r="AM108" s="121"/>
      <c r="AN108" s="121"/>
    </row>
    <row r="109" ht="17.25" hidden="1" customHeight="1">
      <c r="A109" s="121"/>
      <c r="B109" s="214"/>
      <c r="C109" s="214"/>
      <c r="D109" s="214"/>
      <c r="E109" s="214"/>
      <c r="F109" s="214"/>
      <c r="G109" s="214"/>
      <c r="H109" s="214"/>
      <c r="I109" s="214"/>
      <c r="J109" s="214"/>
      <c r="K109" s="214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  <c r="AA109" s="121"/>
      <c r="AB109" s="121"/>
      <c r="AC109" s="121"/>
      <c r="AD109" s="121"/>
      <c r="AE109" s="121"/>
      <c r="AF109" s="121"/>
      <c r="AG109" s="121"/>
      <c r="AH109" s="121"/>
      <c r="AI109" s="121"/>
      <c r="AJ109" s="121"/>
      <c r="AK109" s="121"/>
      <c r="AL109" s="121"/>
      <c r="AM109" s="121"/>
      <c r="AN109" s="121"/>
    </row>
    <row r="110" ht="17.25" hidden="1" customHeight="1">
      <c r="A110" s="121"/>
      <c r="B110" s="213">
        <f>COUNTIF($AD$43:$AD$47, true)</f>
        <v>0</v>
      </c>
      <c r="C110" s="214" t="str">
        <f t="array" ref="C110:H114">$X$43:$AC$47</f>
        <v/>
      </c>
      <c r="D110" s="214"/>
      <c r="E110" s="214"/>
      <c r="F110" s="214"/>
      <c r="G110" s="214"/>
      <c r="H110" s="214"/>
      <c r="I110" s="214"/>
      <c r="J110" s="214"/>
      <c r="K110" s="214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121"/>
      <c r="AK110" s="121"/>
      <c r="AL110" s="121"/>
      <c r="AM110" s="121"/>
      <c r="AN110" s="121"/>
    </row>
    <row r="111" ht="17.25" hidden="1" customHeight="1">
      <c r="A111" s="121"/>
      <c r="B111" s="214"/>
      <c r="C111" s="214"/>
      <c r="D111" s="214"/>
      <c r="E111" s="214"/>
      <c r="F111" s="214"/>
      <c r="G111" s="214"/>
      <c r="H111" s="214"/>
      <c r="I111" s="214"/>
      <c r="J111" s="214"/>
      <c r="K111" s="214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  <c r="AA111" s="121"/>
      <c r="AB111" s="121"/>
      <c r="AC111" s="121"/>
      <c r="AD111" s="121"/>
      <c r="AE111" s="121"/>
      <c r="AF111" s="121"/>
      <c r="AG111" s="121"/>
      <c r="AH111" s="121"/>
      <c r="AI111" s="121"/>
      <c r="AJ111" s="121"/>
      <c r="AK111" s="121"/>
      <c r="AL111" s="121"/>
      <c r="AM111" s="121"/>
      <c r="AN111" s="121"/>
    </row>
    <row r="112" ht="17.25" hidden="1" customHeight="1">
      <c r="A112" s="121"/>
      <c r="B112" s="214"/>
      <c r="C112" s="214"/>
      <c r="D112" s="214"/>
      <c r="E112" s="214"/>
      <c r="F112" s="214"/>
      <c r="G112" s="214"/>
      <c r="H112" s="214"/>
      <c r="I112" s="214"/>
      <c r="J112" s="214"/>
      <c r="K112" s="214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  <c r="AA112" s="121"/>
      <c r="AB112" s="121"/>
      <c r="AC112" s="121"/>
      <c r="AD112" s="121"/>
      <c r="AE112" s="121"/>
      <c r="AF112" s="121"/>
      <c r="AG112" s="121"/>
      <c r="AH112" s="121"/>
      <c r="AI112" s="121"/>
      <c r="AJ112" s="121"/>
      <c r="AK112" s="121"/>
      <c r="AL112" s="121"/>
      <c r="AM112" s="121"/>
      <c r="AN112" s="121"/>
    </row>
    <row r="113" ht="17.25" hidden="1" customHeight="1">
      <c r="A113" s="121"/>
      <c r="B113" s="214"/>
      <c r="C113" s="214"/>
      <c r="D113" s="214"/>
      <c r="E113" s="214"/>
      <c r="F113" s="214"/>
      <c r="G113" s="214"/>
      <c r="H113" s="214"/>
      <c r="I113" s="214"/>
      <c r="J113" s="214"/>
      <c r="K113" s="214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  <c r="AA113" s="121"/>
      <c r="AB113" s="121"/>
      <c r="AC113" s="121"/>
      <c r="AD113" s="121"/>
      <c r="AE113" s="121"/>
      <c r="AF113" s="121"/>
      <c r="AG113" s="121"/>
      <c r="AH113" s="121"/>
      <c r="AI113" s="121"/>
      <c r="AJ113" s="121"/>
      <c r="AK113" s="121"/>
      <c r="AL113" s="121"/>
      <c r="AM113" s="121"/>
      <c r="AN113" s="121"/>
    </row>
    <row r="114" ht="17.25" hidden="1" customHeight="1">
      <c r="A114" s="121"/>
      <c r="B114" s="214"/>
      <c r="C114" s="214"/>
      <c r="D114" s="214"/>
      <c r="E114" s="214"/>
      <c r="F114" s="214"/>
      <c r="G114" s="214"/>
      <c r="H114" s="214"/>
      <c r="I114" s="214"/>
      <c r="J114" s="214"/>
      <c r="K114" s="214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  <c r="AA114" s="121"/>
      <c r="AB114" s="121"/>
      <c r="AC114" s="121"/>
      <c r="AD114" s="121"/>
      <c r="AE114" s="121"/>
      <c r="AF114" s="121"/>
      <c r="AG114" s="121"/>
      <c r="AH114" s="121"/>
      <c r="AI114" s="121"/>
      <c r="AJ114" s="121"/>
      <c r="AK114" s="121"/>
      <c r="AL114" s="121"/>
      <c r="AM114" s="121"/>
      <c r="AN114" s="121"/>
    </row>
    <row r="115" ht="17.25" hidden="1" customHeight="1">
      <c r="A115" s="121"/>
      <c r="B115" s="214"/>
      <c r="C115" s="214"/>
      <c r="D115" s="214"/>
      <c r="E115" s="214"/>
      <c r="F115" s="214"/>
      <c r="G115" s="214"/>
      <c r="H115" s="214"/>
      <c r="I115" s="214"/>
      <c r="J115" s="214"/>
      <c r="K115" s="214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  <c r="AA115" s="121"/>
      <c r="AB115" s="121"/>
      <c r="AC115" s="121"/>
      <c r="AD115" s="121"/>
      <c r="AE115" s="121"/>
      <c r="AF115" s="121"/>
      <c r="AG115" s="121"/>
      <c r="AH115" s="121"/>
      <c r="AI115" s="121"/>
      <c r="AJ115" s="121"/>
      <c r="AK115" s="121"/>
      <c r="AL115" s="121"/>
      <c r="AM115" s="121"/>
      <c r="AN115" s="121"/>
    </row>
    <row r="116" ht="17.25" hidden="1" customHeight="1">
      <c r="A116" s="121"/>
      <c r="B116" s="214"/>
      <c r="C116" s="214"/>
      <c r="D116" s="214"/>
      <c r="E116" s="214"/>
      <c r="F116" s="214"/>
      <c r="G116" s="214"/>
      <c r="H116" s="214"/>
      <c r="I116" s="214"/>
      <c r="J116" s="214"/>
      <c r="K116" s="214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  <c r="AA116" s="121"/>
      <c r="AB116" s="121"/>
      <c r="AC116" s="121"/>
      <c r="AD116" s="121"/>
      <c r="AE116" s="121"/>
      <c r="AF116" s="121"/>
      <c r="AG116" s="121"/>
      <c r="AH116" s="121"/>
      <c r="AI116" s="121"/>
      <c r="AJ116" s="121"/>
      <c r="AK116" s="121"/>
      <c r="AL116" s="121"/>
      <c r="AM116" s="121"/>
      <c r="AN116" s="121"/>
    </row>
    <row r="117" ht="17.25" hidden="1" customHeight="1">
      <c r="A117" s="121"/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121"/>
      <c r="AF117" s="121"/>
      <c r="AG117" s="121"/>
      <c r="AH117" s="121"/>
      <c r="AI117" s="121"/>
      <c r="AJ117" s="121"/>
      <c r="AK117" s="121"/>
      <c r="AL117" s="121"/>
      <c r="AM117" s="121"/>
      <c r="AN117" s="121"/>
    </row>
    <row r="118" ht="17.25" hidden="1" customHeight="1">
      <c r="A118" s="121"/>
      <c r="B118" s="214"/>
      <c r="C118" s="214"/>
      <c r="D118" s="214"/>
      <c r="E118" s="214"/>
      <c r="F118" s="214"/>
      <c r="G118" s="214"/>
      <c r="H118" s="214"/>
      <c r="I118" s="214"/>
      <c r="J118" s="214"/>
      <c r="K118" s="214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  <c r="AA118" s="121"/>
      <c r="AB118" s="121"/>
      <c r="AC118" s="121"/>
      <c r="AD118" s="121"/>
      <c r="AE118" s="121"/>
      <c r="AF118" s="121"/>
      <c r="AG118" s="121"/>
      <c r="AH118" s="121"/>
      <c r="AI118" s="121"/>
      <c r="AJ118" s="121"/>
      <c r="AK118" s="121"/>
      <c r="AL118" s="121"/>
      <c r="AM118" s="121"/>
      <c r="AN118" s="121"/>
    </row>
    <row r="119" ht="17.25" hidden="1" customHeight="1">
      <c r="A119" s="121"/>
      <c r="B119" s="214"/>
      <c r="C119" s="214"/>
      <c r="D119" s="214"/>
      <c r="E119" s="214"/>
      <c r="F119" s="214"/>
      <c r="G119" s="214"/>
      <c r="H119" s="214"/>
      <c r="I119" s="214"/>
      <c r="J119" s="214"/>
      <c r="K119" s="214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  <c r="AA119" s="121"/>
      <c r="AB119" s="121"/>
      <c r="AC119" s="121"/>
      <c r="AD119" s="121"/>
      <c r="AE119" s="121"/>
      <c r="AF119" s="121"/>
      <c r="AG119" s="121"/>
      <c r="AH119" s="121"/>
      <c r="AI119" s="121"/>
      <c r="AJ119" s="121"/>
      <c r="AK119" s="121"/>
      <c r="AL119" s="121"/>
      <c r="AM119" s="121"/>
      <c r="AN119" s="121"/>
    </row>
    <row r="120" ht="17.25" hidden="1" customHeight="1">
      <c r="A120" s="121"/>
      <c r="B120" s="214"/>
      <c r="C120" s="214"/>
      <c r="D120" s="214"/>
      <c r="E120" s="214"/>
      <c r="F120" s="214"/>
      <c r="G120" s="214"/>
      <c r="H120" s="214"/>
      <c r="I120" s="214"/>
      <c r="J120" s="214"/>
      <c r="K120" s="214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</row>
    <row r="121" ht="17.25" hidden="1" customHeight="1">
      <c r="A121" s="121"/>
      <c r="B121" s="214"/>
      <c r="C121" s="214"/>
      <c r="D121" s="214"/>
      <c r="E121" s="214"/>
      <c r="F121" s="214"/>
      <c r="G121" s="214"/>
      <c r="H121" s="214"/>
      <c r="I121" s="214"/>
      <c r="J121" s="214"/>
      <c r="K121" s="214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</row>
    <row r="122" ht="17.25" hidden="1" customHeight="1">
      <c r="A122" s="121"/>
      <c r="B122" s="214"/>
      <c r="C122" s="214"/>
      <c r="D122" s="214"/>
      <c r="E122" s="214"/>
      <c r="F122" s="214"/>
      <c r="G122" s="214"/>
      <c r="H122" s="214"/>
      <c r="I122" s="214"/>
      <c r="J122" s="214"/>
      <c r="K122" s="214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  <c r="AA122" s="121"/>
      <c r="AB122" s="121"/>
      <c r="AC122" s="121"/>
      <c r="AD122" s="121"/>
      <c r="AE122" s="121"/>
      <c r="AF122" s="121"/>
      <c r="AG122" s="121"/>
      <c r="AH122" s="121"/>
      <c r="AI122" s="121"/>
      <c r="AJ122" s="121"/>
      <c r="AK122" s="121"/>
      <c r="AL122" s="121"/>
      <c r="AM122" s="121"/>
      <c r="AN122" s="121"/>
    </row>
    <row r="123" ht="17.25" hidden="1" customHeight="1">
      <c r="A123" s="121"/>
      <c r="B123" s="214"/>
      <c r="C123" s="214"/>
      <c r="D123" s="214"/>
      <c r="E123" s="214"/>
      <c r="F123" s="214"/>
      <c r="G123" s="214"/>
      <c r="H123" s="214"/>
      <c r="I123" s="214"/>
      <c r="J123" s="214"/>
      <c r="K123" s="214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1"/>
      <c r="AL123" s="121"/>
      <c r="AM123" s="121"/>
      <c r="AN123" s="121"/>
    </row>
    <row r="124" ht="17.25" hidden="1" customHeight="1">
      <c r="A124" s="121"/>
      <c r="B124" s="214"/>
      <c r="C124" s="214"/>
      <c r="D124" s="214"/>
      <c r="E124" s="214"/>
      <c r="F124" s="214"/>
      <c r="G124" s="214"/>
      <c r="H124" s="214"/>
      <c r="I124" s="214"/>
      <c r="J124" s="214"/>
      <c r="K124" s="214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</row>
    <row r="125" ht="17.25" hidden="1" customHeight="1">
      <c r="A125" s="121"/>
      <c r="B125" s="214"/>
      <c r="C125" s="214"/>
      <c r="D125" s="214"/>
      <c r="E125" s="214"/>
      <c r="F125" s="214"/>
      <c r="G125" s="214"/>
      <c r="H125" s="214"/>
      <c r="I125" s="214"/>
      <c r="J125" s="214"/>
      <c r="K125" s="214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</row>
    <row r="126" ht="17.25" hidden="1" customHeight="1">
      <c r="A126" s="121"/>
      <c r="B126" s="213">
        <f>COUNTIF($P$55:$P$59, true)</f>
        <v>0</v>
      </c>
      <c r="C126" s="214" t="str">
        <f t="array" ref="C126:O130">$C$55:$O$59</f>
        <v/>
      </c>
      <c r="D126" s="214"/>
      <c r="E126" s="214"/>
      <c r="F126" s="214"/>
      <c r="G126" s="214"/>
      <c r="H126" s="214"/>
      <c r="I126" s="214"/>
      <c r="J126" s="214"/>
      <c r="K126" s="214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</row>
    <row r="127" ht="17.25" hidden="1" customHeight="1">
      <c r="A127" s="121"/>
      <c r="B127" s="214"/>
      <c r="C127" s="214"/>
      <c r="D127" s="214"/>
      <c r="E127" s="214"/>
      <c r="F127" s="214"/>
      <c r="G127" s="214"/>
      <c r="H127" s="214"/>
      <c r="I127" s="214"/>
      <c r="J127" s="214"/>
      <c r="K127" s="214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</row>
    <row r="128" ht="17.25" hidden="1" customHeight="1">
      <c r="A128" s="121"/>
      <c r="B128" s="214"/>
      <c r="C128" s="214"/>
      <c r="D128" s="214"/>
      <c r="E128" s="214"/>
      <c r="F128" s="214"/>
      <c r="G128" s="214"/>
      <c r="H128" s="214"/>
      <c r="I128" s="214"/>
      <c r="J128" s="214"/>
      <c r="K128" s="214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</row>
    <row r="129" ht="17.25" hidden="1" customHeight="1">
      <c r="A129" s="121"/>
      <c r="B129" s="214"/>
      <c r="C129" s="214"/>
      <c r="D129" s="214"/>
      <c r="E129" s="214"/>
      <c r="F129" s="214"/>
      <c r="G129" s="214"/>
      <c r="H129" s="214"/>
      <c r="I129" s="214"/>
      <c r="J129" s="214"/>
      <c r="K129" s="214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</row>
    <row r="130" ht="17.25" hidden="1" customHeight="1">
      <c r="A130" s="121"/>
      <c r="B130" s="214"/>
      <c r="C130" s="214"/>
      <c r="D130" s="214"/>
      <c r="E130" s="214"/>
      <c r="F130" s="214"/>
      <c r="G130" s="214"/>
      <c r="H130" s="214"/>
      <c r="I130" s="214"/>
      <c r="J130" s="214"/>
      <c r="K130" s="214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</row>
    <row r="131" ht="17.25" hidden="1" customHeight="1">
      <c r="A131" s="121"/>
      <c r="B131" s="214"/>
      <c r="C131" s="214"/>
      <c r="D131" s="214"/>
      <c r="E131" s="214"/>
      <c r="F131" s="214"/>
      <c r="G131" s="214"/>
      <c r="H131" s="214"/>
      <c r="I131" s="214"/>
      <c r="J131" s="214"/>
      <c r="K131" s="214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</row>
    <row r="132" ht="17.25" hidden="1" customHeight="1">
      <c r="A132" s="121"/>
      <c r="B132" s="214"/>
      <c r="C132" s="214"/>
      <c r="D132" s="214"/>
      <c r="E132" s="214"/>
      <c r="F132" s="214"/>
      <c r="G132" s="214"/>
      <c r="H132" s="214"/>
      <c r="I132" s="214"/>
      <c r="J132" s="214"/>
      <c r="K132" s="214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</row>
    <row r="133" ht="17.25" hidden="1" customHeight="1">
      <c r="A133" s="121"/>
      <c r="B133" s="214"/>
      <c r="C133" s="214"/>
      <c r="D133" s="214"/>
      <c r="E133" s="214"/>
      <c r="F133" s="214"/>
      <c r="G133" s="214"/>
      <c r="H133" s="214"/>
      <c r="I133" s="214"/>
      <c r="J133" s="214"/>
      <c r="K133" s="214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</row>
    <row r="134" ht="17.25" hidden="1" customHeight="1">
      <c r="A134" s="121"/>
      <c r="B134" s="214"/>
      <c r="C134" s="214"/>
      <c r="D134" s="214"/>
      <c r="E134" s="214"/>
      <c r="F134" s="214"/>
      <c r="G134" s="214"/>
      <c r="H134" s="214"/>
      <c r="I134" s="214"/>
      <c r="J134" s="214"/>
      <c r="K134" s="214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  <c r="AA134" s="121"/>
      <c r="AB134" s="121"/>
      <c r="AC134" s="121"/>
      <c r="AD134" s="121"/>
      <c r="AE134" s="121"/>
      <c r="AF134" s="121"/>
      <c r="AG134" s="121"/>
      <c r="AH134" s="121"/>
      <c r="AI134" s="121"/>
      <c r="AJ134" s="121"/>
      <c r="AK134" s="121"/>
      <c r="AL134" s="121"/>
      <c r="AM134" s="121"/>
      <c r="AN134" s="121"/>
    </row>
    <row r="135" ht="17.25" hidden="1" customHeight="1">
      <c r="A135" s="121"/>
      <c r="B135" s="214"/>
      <c r="C135" s="214"/>
      <c r="D135" s="214"/>
      <c r="E135" s="214"/>
      <c r="F135" s="214"/>
      <c r="G135" s="214"/>
      <c r="H135" s="214"/>
      <c r="I135" s="214"/>
      <c r="J135" s="214"/>
      <c r="K135" s="214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  <c r="AA135" s="121"/>
      <c r="AB135" s="121"/>
      <c r="AC135" s="121"/>
      <c r="AD135" s="121"/>
      <c r="AE135" s="121"/>
      <c r="AF135" s="121"/>
      <c r="AG135" s="121"/>
      <c r="AH135" s="121"/>
      <c r="AI135" s="121"/>
      <c r="AJ135" s="121"/>
      <c r="AK135" s="121"/>
      <c r="AL135" s="121"/>
      <c r="AM135" s="121"/>
      <c r="AN135" s="121"/>
    </row>
    <row r="136" ht="17.25" hidden="1" customHeight="1">
      <c r="A136" s="121"/>
      <c r="B136" s="214"/>
      <c r="C136" s="214"/>
      <c r="D136" s="214"/>
      <c r="E136" s="214"/>
      <c r="F136" s="214"/>
      <c r="G136" s="214"/>
      <c r="H136" s="214"/>
      <c r="I136" s="214"/>
      <c r="J136" s="214"/>
      <c r="K136" s="214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  <c r="AA136" s="121"/>
      <c r="AB136" s="121"/>
      <c r="AC136" s="121"/>
      <c r="AD136" s="121"/>
      <c r="AE136" s="121"/>
      <c r="AF136" s="121"/>
      <c r="AG136" s="121"/>
      <c r="AH136" s="121"/>
      <c r="AI136" s="121"/>
      <c r="AJ136" s="121"/>
      <c r="AK136" s="121"/>
      <c r="AL136" s="121"/>
      <c r="AM136" s="121"/>
      <c r="AN136" s="121"/>
    </row>
    <row r="137" ht="17.25" hidden="1" customHeight="1">
      <c r="A137" s="121"/>
      <c r="B137" s="214"/>
      <c r="C137" s="214"/>
      <c r="D137" s="214"/>
      <c r="E137" s="214"/>
      <c r="F137" s="214"/>
      <c r="G137" s="214"/>
      <c r="H137" s="214"/>
      <c r="I137" s="214"/>
      <c r="J137" s="214"/>
      <c r="K137" s="214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  <c r="AA137" s="121"/>
      <c r="AB137" s="121"/>
      <c r="AC137" s="121"/>
      <c r="AD137" s="121"/>
      <c r="AE137" s="121"/>
      <c r="AF137" s="121"/>
      <c r="AG137" s="121"/>
      <c r="AH137" s="121"/>
      <c r="AI137" s="121"/>
      <c r="AJ137" s="121"/>
      <c r="AK137" s="121"/>
      <c r="AL137" s="121"/>
      <c r="AM137" s="121"/>
      <c r="AN137" s="121"/>
    </row>
    <row r="138" ht="17.25" hidden="1" customHeight="1">
      <c r="A138" s="121"/>
      <c r="B138" s="214"/>
      <c r="C138" s="214"/>
      <c r="D138" s="214"/>
      <c r="E138" s="214"/>
      <c r="F138" s="214"/>
      <c r="G138" s="214"/>
      <c r="H138" s="214"/>
      <c r="I138" s="214"/>
      <c r="J138" s="214"/>
      <c r="K138" s="214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21"/>
      <c r="AH138" s="121"/>
      <c r="AI138" s="121"/>
      <c r="AJ138" s="121"/>
      <c r="AK138" s="121"/>
      <c r="AL138" s="121"/>
      <c r="AM138" s="121"/>
      <c r="AN138" s="121"/>
    </row>
    <row r="139" ht="17.25" hidden="1" customHeight="1">
      <c r="A139" s="121"/>
      <c r="B139" s="214"/>
      <c r="C139" s="214"/>
      <c r="D139" s="214"/>
      <c r="E139" s="214"/>
      <c r="F139" s="214"/>
      <c r="G139" s="214"/>
      <c r="H139" s="214"/>
      <c r="I139" s="214"/>
      <c r="J139" s="214"/>
      <c r="K139" s="214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  <c r="AA139" s="121"/>
      <c r="AB139" s="121"/>
      <c r="AC139" s="121"/>
      <c r="AD139" s="121"/>
      <c r="AE139" s="121"/>
      <c r="AF139" s="121"/>
      <c r="AG139" s="121"/>
      <c r="AH139" s="121"/>
      <c r="AI139" s="121"/>
      <c r="AJ139" s="121"/>
      <c r="AK139" s="121"/>
      <c r="AL139" s="121"/>
      <c r="AM139" s="121"/>
      <c r="AN139" s="121"/>
    </row>
    <row r="140" ht="17.25" hidden="1" customHeight="1">
      <c r="A140" s="121"/>
      <c r="B140" s="214"/>
      <c r="C140" s="214"/>
      <c r="D140" s="214"/>
      <c r="E140" s="214"/>
      <c r="F140" s="214"/>
      <c r="G140" s="214"/>
      <c r="H140" s="214"/>
      <c r="I140" s="214"/>
      <c r="J140" s="214"/>
      <c r="K140" s="214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  <c r="AA140" s="121"/>
      <c r="AB140" s="121"/>
      <c r="AC140" s="121"/>
      <c r="AD140" s="121"/>
      <c r="AE140" s="121"/>
      <c r="AF140" s="121"/>
      <c r="AG140" s="121"/>
      <c r="AH140" s="121"/>
      <c r="AI140" s="121"/>
      <c r="AJ140" s="121"/>
      <c r="AK140" s="121"/>
      <c r="AL140" s="121"/>
      <c r="AM140" s="121"/>
      <c r="AN140" s="121"/>
    </row>
  </sheetData>
  <mergeCells count="86">
    <mergeCell ref="AI38:AM38"/>
    <mergeCell ref="AI39:AM39"/>
    <mergeCell ref="B42:B43"/>
    <mergeCell ref="C42:H42"/>
    <mergeCell ref="Q42:V42"/>
    <mergeCell ref="C43:H43"/>
    <mergeCell ref="Q43:V43"/>
    <mergeCell ref="J42:O42"/>
    <mergeCell ref="J43:O43"/>
    <mergeCell ref="C44:H44"/>
    <mergeCell ref="J44:O44"/>
    <mergeCell ref="Q44:V44"/>
    <mergeCell ref="J45:O45"/>
    <mergeCell ref="Q45:V45"/>
    <mergeCell ref="C47:H47"/>
    <mergeCell ref="C49:I49"/>
    <mergeCell ref="B49:B51"/>
    <mergeCell ref="C51:I51"/>
    <mergeCell ref="C52:H52"/>
    <mergeCell ref="B54:B55"/>
    <mergeCell ref="C45:H45"/>
    <mergeCell ref="C46:H46"/>
    <mergeCell ref="J46:O46"/>
    <mergeCell ref="Q46:V46"/>
    <mergeCell ref="J47:O47"/>
    <mergeCell ref="Q47:V47"/>
    <mergeCell ref="Q50:W50"/>
    <mergeCell ref="C55:O55"/>
    <mergeCell ref="C56:O56"/>
    <mergeCell ref="C57:O57"/>
    <mergeCell ref="C58:O58"/>
    <mergeCell ref="C59:O59"/>
    <mergeCell ref="C50:I50"/>
    <mergeCell ref="J50:P50"/>
    <mergeCell ref="J51:P51"/>
    <mergeCell ref="Q51:W51"/>
    <mergeCell ref="J52:O52"/>
    <mergeCell ref="Q52:V52"/>
    <mergeCell ref="C54:P54"/>
    <mergeCell ref="O3:T3"/>
    <mergeCell ref="O4:T4"/>
    <mergeCell ref="B7:B8"/>
    <mergeCell ref="C7:I7"/>
    <mergeCell ref="J7:P7"/>
    <mergeCell ref="Q7:W7"/>
    <mergeCell ref="B2:H2"/>
    <mergeCell ref="AG2:AM5"/>
    <mergeCell ref="B3:H4"/>
    <mergeCell ref="I3:M3"/>
    <mergeCell ref="V3:Z3"/>
    <mergeCell ref="I4:M4"/>
    <mergeCell ref="V4:Z4"/>
    <mergeCell ref="B5:H5"/>
    <mergeCell ref="AB3:AF3"/>
    <mergeCell ref="AB4:AF4"/>
    <mergeCell ref="X7:AD7"/>
    <mergeCell ref="AE7:AG7"/>
    <mergeCell ref="AI7:AJ8"/>
    <mergeCell ref="AK7:AM8"/>
    <mergeCell ref="AK10:AM10"/>
    <mergeCell ref="AK11:AM11"/>
    <mergeCell ref="AK12:AM12"/>
    <mergeCell ref="AK13:AM13"/>
    <mergeCell ref="AK14:AM14"/>
    <mergeCell ref="AK15:AM15"/>
    <mergeCell ref="AK16:AM16"/>
    <mergeCell ref="AK17:AM17"/>
    <mergeCell ref="AK18:AM18"/>
    <mergeCell ref="AK19:AM19"/>
    <mergeCell ref="AK20:AM20"/>
    <mergeCell ref="AK21:AM21"/>
    <mergeCell ref="B36:AG36"/>
    <mergeCell ref="AI36:AM36"/>
    <mergeCell ref="AI37:AM37"/>
    <mergeCell ref="X42:AC42"/>
    <mergeCell ref="X43:AC43"/>
    <mergeCell ref="X44:AC44"/>
    <mergeCell ref="X45:AC45"/>
    <mergeCell ref="X46:AC46"/>
    <mergeCell ref="X47:AC47"/>
    <mergeCell ref="J49:P49"/>
    <mergeCell ref="Q49:W49"/>
    <mergeCell ref="X49:AD49"/>
    <mergeCell ref="X50:AD50"/>
    <mergeCell ref="X51:AD51"/>
    <mergeCell ref="X52:AC52"/>
  </mergeCells>
  <conditionalFormatting sqref="C23:AG23">
    <cfRule type="cellIs" dxfId="0" priority="1" operator="greaterThanOrEqual">
      <formula>"75%"</formula>
    </cfRule>
  </conditionalFormatting>
  <dataValidations>
    <dataValidation type="list" allowBlank="1" showErrorMessage="1" sqref="C37:AG39">
      <formula1>"10,9,8,7,6,5,4,3,2,1"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7" width="4.25"/>
  </cols>
  <sheetData>
    <row r="1" ht="21.0" customHeight="1">
      <c r="A1" s="220"/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</row>
    <row r="2" ht="21.0" customHeight="1">
      <c r="A2" s="220"/>
      <c r="B2" s="221"/>
      <c r="Q2" s="222"/>
    </row>
    <row r="3" ht="21.0" customHeight="1">
      <c r="A3" s="220"/>
      <c r="Q3" s="222"/>
    </row>
    <row r="4" ht="21.0" customHeight="1">
      <c r="A4" s="220"/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0"/>
    </row>
    <row r="5" ht="21.0" customHeight="1">
      <c r="A5" s="220"/>
      <c r="B5" s="223" t="s">
        <v>66</v>
      </c>
      <c r="Q5" s="224"/>
    </row>
    <row r="6" ht="21.0" customHeight="1">
      <c r="A6" s="220"/>
      <c r="Q6" s="220"/>
    </row>
    <row r="7" ht="21.0" customHeight="1">
      <c r="A7" s="220"/>
      <c r="Q7" s="220"/>
    </row>
    <row r="8" ht="21.0" customHeight="1">
      <c r="A8" s="220"/>
      <c r="Q8" s="220"/>
    </row>
    <row r="9" ht="21.0" customHeight="1">
      <c r="A9" s="220"/>
      <c r="Q9" s="220"/>
    </row>
    <row r="10" ht="21.0" customHeight="1">
      <c r="A10" s="220"/>
      <c r="Q10" s="220"/>
    </row>
    <row r="11" ht="21.0" customHeight="1">
      <c r="A11" s="220"/>
      <c r="Q11" s="220"/>
    </row>
    <row r="12" ht="21.0" customHeight="1">
      <c r="A12" s="220"/>
      <c r="B12" s="220"/>
      <c r="C12" s="220"/>
      <c r="D12" s="220"/>
      <c r="E12" s="220"/>
      <c r="F12" s="220"/>
      <c r="G12" s="220"/>
      <c r="H12" s="220"/>
      <c r="I12" s="220"/>
      <c r="J12" s="220"/>
      <c r="K12" s="220"/>
      <c r="L12" s="220"/>
      <c r="M12" s="220"/>
      <c r="N12" s="220"/>
      <c r="O12" s="220"/>
      <c r="P12" s="220"/>
      <c r="Q12" s="220"/>
    </row>
  </sheetData>
  <mergeCells count="2">
    <mergeCell ref="B2:P3"/>
    <mergeCell ref="B5:P11"/>
  </mergeCells>
  <drawing r:id="rId1"/>
</worksheet>
</file>