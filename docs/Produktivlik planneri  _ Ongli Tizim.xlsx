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👋" sheetId="1" r:id="rId4"/>
    <sheet state="visible" name="Rejalar" sheetId="2" r:id="rId5"/>
    <sheet state="visible" name="Vazifalar" sheetId="3" r:id="rId6"/>
    <sheet state="visible" name="©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4">
      <text>
        <t xml:space="preserve">Tasks completed displayed as a percentage. Turns green at 80% and above.</t>
      </text>
    </comment>
  </commentList>
</comments>
</file>

<file path=xl/sharedStrings.xml><?xml version="1.0" encoding="utf-8"?>
<sst xmlns="http://schemas.openxmlformats.org/spreadsheetml/2006/main" count="55" uniqueCount="49">
  <si>
    <r>
      <t xml:space="preserve">Produktivlik planneri-dan foydalanishni boshlash uchun - </t>
    </r>
    <r>
      <rPr>
        <rFont val="Montserrat"/>
        <b/>
        <color theme="1"/>
        <sz val="12.0"/>
      </rPr>
      <t xml:space="preserve">quyidagi qo'llanma bilan tanishib chiqing </t>
    </r>
    <r>
      <rPr>
        <rFont val="Montserrat"/>
        <color theme="1"/>
        <sz val="12.0"/>
      </rPr>
      <t xml:space="preserve">
Agar plannerdan foydalanishda biror savollaringiz mavjud bo'lsa - telegram orqali bog'laning </t>
    </r>
  </si>
  <si>
    <t>Qo'llanma</t>
  </si>
  <si>
    <t>1. Planner joylashgan sahifani oching (siz hozirda shu yerdasiz)</t>
  </si>
  <si>
    <t>2. Tepa chap tomondagi "Fayl" tugmasiga bosing</t>
  </si>
  <si>
    <t>3. Ochilgan oyna menyudan "создать копию" tugmasiga bosing</t>
  </si>
  <si>
    <r>
      <rPr>
        <rFont val="Montserrat"/>
        <color theme="1"/>
        <sz val="12.0"/>
      </rPr>
      <t xml:space="preserve">4. Sizda yangi oyna ochiladi va u yerda </t>
    </r>
    <r>
      <rPr>
        <rFont val="Montserrat"/>
        <b/>
        <color theme="1"/>
        <sz val="12.0"/>
      </rPr>
      <t>Produktivlik planneri'</t>
    </r>
    <r>
      <rPr>
        <rFont val="Montserrat"/>
        <color theme="1"/>
        <sz val="12.0"/>
      </rPr>
      <t xml:space="preserve">dan foydalanishni boshlasangiz bo'ladi </t>
    </r>
  </si>
  <si>
    <t xml:space="preserve">Biz bilan - yangi marralarga erishing va hayotingizni rejalashtiring!  </t>
  </si>
  <si>
    <t>Yil</t>
  </si>
  <si>
    <t>Maqsad</t>
  </si>
  <si>
    <t>Izoh</t>
  </si>
  <si>
    <t>Февраль</t>
  </si>
  <si>
    <t>Progres %</t>
  </si>
  <si>
    <t>Bajarilgan</t>
  </si>
  <si>
    <t>Bajarilmagan</t>
  </si>
  <si>
    <t>Haftalik</t>
  </si>
  <si>
    <t>Hafta 1</t>
  </si>
  <si>
    <t>Hafta 2</t>
  </si>
  <si>
    <t>Hafta 3</t>
  </si>
  <si>
    <t>Hafta 4</t>
  </si>
  <si>
    <t>Aniq haftalik</t>
  </si>
  <si>
    <t>Январь</t>
  </si>
  <si>
    <t>Март</t>
  </si>
  <si>
    <t>Апрель</t>
  </si>
  <si>
    <t>Май</t>
  </si>
  <si>
    <t>Июнь</t>
  </si>
  <si>
    <t>Июль</t>
  </si>
  <si>
    <t>Август</t>
  </si>
  <si>
    <t>Oylik</t>
  </si>
  <si>
    <t>Oylik vazifalar</t>
  </si>
  <si>
    <t>Сентябрь</t>
  </si>
  <si>
    <t>Октябрь</t>
  </si>
  <si>
    <t>Ноябрь</t>
  </si>
  <si>
    <t>Декабрь</t>
  </si>
  <si>
    <t>Bugun:</t>
  </si>
  <si>
    <t>#</t>
  </si>
  <si>
    <t>✓</t>
  </si>
  <si>
    <t>Vazifa</t>
  </si>
  <si>
    <t>Muddati</t>
  </si>
  <si>
    <t>Vaqti</t>
  </si>
  <si>
    <t>Qolgan kunlar</t>
  </si>
  <si>
    <t>Barcha 
vazifalar</t>
  </si>
  <si>
    <t>Kech qolgan:</t>
  </si>
  <si>
    <t>Jarayonda:</t>
  </si>
  <si>
    <t>Bajarilgan:</t>
  </si>
  <si>
    <t>Ranglar</t>
  </si>
  <si>
    <t>Kech qolgan</t>
  </si>
  <si>
    <t>Bugun</t>
  </si>
  <si>
    <t>3 kun ichida</t>
  </si>
  <si>
    <t xml:space="preserve">Ushbu materiallardan tijoriy maqsadlarda qayta foydalanish, o'zgartirish, nusxalash yoki sotish - qonun bilan taqiqlanadi. © Barcha huquqlar himoyalangan.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</si>
</sst>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"/>
    <numFmt numFmtId="165" formatCode="dd/MM/yyyy"/>
    <numFmt numFmtId="166" formatCode="dddd&quot;.&quot;mmmm&quot;.&quot;yyyy"/>
    <numFmt numFmtId="167" formatCode="0.0%"/>
    <numFmt numFmtId="168" formatCode="ddd"/>
    <numFmt numFmtId="169" formatCode="dddd&quot;, &quot;mmmm&quot; &quot;d"/>
    <numFmt numFmtId="170" formatCode="mmm&quot; &quot;d&quot;, &quot;yyyy"/>
    <numFmt numFmtId="171" formatCode="ddd&quot;, &quot;mmm&quot; &quot;d"/>
  </numFmts>
  <fonts count="20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Montserrat"/>
    </font>
    <font>
      <b/>
      <sz val="12.0"/>
      <color theme="1"/>
      <name val="Montserrat"/>
    </font>
    <font/>
    <font>
      <sz val="10.0"/>
      <color rgb="FF000000"/>
      <name val="Montserrat"/>
    </font>
    <font>
      <sz val="10.0"/>
      <color rgb="FFFFFFFF"/>
      <name val="Montserrat"/>
    </font>
    <font>
      <b/>
      <sz val="10.0"/>
      <color rgb="FF000000"/>
      <name val="Montserrat"/>
    </font>
    <font>
      <b/>
      <sz val="14.0"/>
      <color rgb="FF000000"/>
      <name val="Montserrat"/>
    </font>
    <font>
      <sz val="12.0"/>
      <color rgb="FF000000"/>
      <name val="Montserrat"/>
    </font>
    <font>
      <sz val="10.0"/>
      <color rgb="FF666666"/>
      <name val="Montserrat"/>
    </font>
    <font>
      <color rgb="FFFFFFFF"/>
      <name val="Montserrat"/>
    </font>
    <font>
      <color rgb="FFFFFFFF"/>
      <name val="&quot;.Apple Color Emoji UI&quot;"/>
    </font>
    <font>
      <sz val="10.0"/>
      <color theme="1"/>
      <name val="Montserrat"/>
    </font>
    <font>
      <sz val="10.0"/>
      <color theme="0"/>
      <name val="Montserrat"/>
    </font>
    <font>
      <sz val="9.0"/>
      <color rgb="FF000000"/>
      <name val="&quot;Google Sans Mono&quot;"/>
    </font>
    <font>
      <color theme="1"/>
      <name val="Arial"/>
      <scheme val="minor"/>
    </font>
    <font>
      <sz val="10.0"/>
      <color rgb="FFF8B9C0"/>
      <name val="Montserrat"/>
    </font>
    <font>
      <color theme="1"/>
      <name val="Montserrat"/>
    </font>
    <font>
      <sz val="14.0"/>
      <color rgb="FF666666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EB99C"/>
        <bgColor rgb="FFDEB99C"/>
      </patternFill>
    </fill>
    <fill>
      <patternFill patternType="solid">
        <fgColor rgb="FFF0D9D1"/>
        <bgColor rgb="FFF0D9D1"/>
      </patternFill>
    </fill>
    <fill>
      <patternFill patternType="solid">
        <fgColor rgb="FFF5F0ED"/>
        <bgColor rgb="FFF5F0ED"/>
      </patternFill>
    </fill>
    <fill>
      <patternFill patternType="solid">
        <fgColor rgb="FFFFF7F5"/>
        <bgColor rgb="FFFFF7F5"/>
      </patternFill>
    </fill>
    <fill>
      <patternFill patternType="solid">
        <fgColor rgb="FFFFEEE9"/>
        <bgColor rgb="FFFFEEE9"/>
      </patternFill>
    </fill>
    <fill>
      <patternFill patternType="solid">
        <fgColor rgb="FFF4CFBD"/>
        <bgColor rgb="FFF4CFBD"/>
      </patternFill>
    </fill>
    <fill>
      <patternFill patternType="solid">
        <fgColor rgb="FFC9B092"/>
        <bgColor rgb="FFC9B092"/>
      </patternFill>
    </fill>
    <fill>
      <patternFill patternType="solid">
        <fgColor rgb="FF999B85"/>
        <bgColor rgb="FF999B85"/>
      </patternFill>
    </fill>
    <fill>
      <patternFill patternType="solid">
        <fgColor rgb="FFF9F9F9"/>
        <bgColor rgb="FFF9F9F9"/>
      </patternFill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D9D9D9"/>
      </bottom>
    </border>
    <border>
      <left style="thin">
        <color rgb="FFB7B7B7"/>
      </left>
      <top style="thin">
        <color rgb="FFB7B7B7"/>
      </top>
      <bottom style="thin">
        <color rgb="FFD9D9D9"/>
      </bottom>
    </border>
    <border>
      <top style="thin">
        <color rgb="FFB7B7B7"/>
      </top>
      <bottom style="thin">
        <color rgb="FFD9D9D9"/>
      </bottom>
    </border>
    <border>
      <right style="thin">
        <color rgb="FFB7B7B7"/>
      </right>
      <top style="thin">
        <color rgb="FFB7B7B7"/>
      </top>
      <bottom style="thin">
        <color rgb="FFD9D9D9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D9D9D9"/>
      </bottom>
    </border>
    <border>
      <left style="thin">
        <color rgb="FFB7B7B7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B7B7B7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B7B7B7"/>
      </bottom>
    </border>
    <border>
      <top style="thin">
        <color rgb="FFD9D9D9"/>
      </top>
    </border>
    <border>
      <left style="thin">
        <color rgb="FFB7B7B7"/>
      </left>
      <top style="thin">
        <color rgb="FFD9D9D9"/>
      </top>
      <bottom style="thin">
        <color rgb="FFB7B7B7"/>
      </bottom>
    </border>
    <border>
      <top style="thin">
        <color rgb="FFD9D9D9"/>
      </top>
      <bottom style="thin">
        <color rgb="FFB7B7B7"/>
      </bottom>
    </border>
    <border>
      <right style="thin">
        <color rgb="FFB7B7B7"/>
      </right>
      <top style="thin">
        <color rgb="FFD9D9D9"/>
      </top>
      <bottom style="thin">
        <color rgb="FFB7B7B7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4" numFmtId="0" xfId="0" applyBorder="1" applyFont="1"/>
    <xf borderId="4" fillId="2" fontId="2" numFmtId="0" xfId="0" applyAlignment="1" applyBorder="1" applyFont="1">
      <alignment horizontal="center" shrinkToFit="0" wrapText="1"/>
    </xf>
    <xf borderId="0" fillId="0" fontId="1" numFmtId="0" xfId="0" applyAlignment="1" applyFont="1">
      <alignment vertical="center"/>
    </xf>
    <xf borderId="4" fillId="2" fontId="2" numFmtId="0" xfId="0" applyAlignment="1" applyBorder="1" applyFont="1">
      <alignment horizontal="center" readingOrder="0" shrinkToFit="0" wrapText="1"/>
    </xf>
    <xf borderId="4" fillId="2" fontId="1" numFmtId="0" xfId="0" applyBorder="1" applyFont="1"/>
    <xf borderId="0" fillId="2" fontId="1" numFmtId="0" xfId="0" applyFont="1"/>
    <xf borderId="5" fillId="2" fontId="1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3" fontId="1" numFmtId="0" xfId="0" applyFill="1" applyFont="1"/>
    <xf borderId="0" fillId="0" fontId="5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shrinkToFit="0" vertical="center" wrapText="0"/>
    </xf>
    <xf borderId="9" fillId="4" fontId="7" numFmtId="0" xfId="0" applyAlignment="1" applyBorder="1" applyFill="1" applyFont="1">
      <alignment horizontal="center" readingOrder="0" vertical="center"/>
    </xf>
    <xf borderId="10" fillId="5" fontId="5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0" fillId="0" fontId="5" numFmtId="165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12" fillId="4" fontId="8" numFmtId="0" xfId="0" applyAlignment="1" applyBorder="1" applyFont="1">
      <alignment horizontal="center" readingOrder="0" vertical="center"/>
    </xf>
    <xf borderId="13" fillId="6" fontId="5" numFmtId="0" xfId="0" applyAlignment="1" applyBorder="1" applyFill="1" applyFont="1">
      <alignment readingOrder="0" vertical="center"/>
    </xf>
    <xf borderId="14" fillId="0" fontId="4" numFmtId="0" xfId="0" applyBorder="1" applyFont="1"/>
    <xf borderId="15" fillId="0" fontId="4" numFmtId="0" xfId="0" applyBorder="1" applyFont="1"/>
    <xf borderId="13" fillId="4" fontId="9" numFmtId="167" xfId="0" applyAlignment="1" applyBorder="1" applyFont="1" applyNumberFormat="1">
      <alignment horizontal="center" readingOrder="0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9" fillId="7" fontId="5" numFmtId="0" xfId="0" applyAlignment="1" applyBorder="1" applyFill="1" applyFont="1">
      <alignment horizontal="center" readingOrder="0" vertical="center"/>
    </xf>
    <xf borderId="10" fillId="3" fontId="5" numFmtId="0" xfId="0" applyAlignment="1" applyBorder="1" applyFont="1">
      <alignment horizontal="left" readingOrder="0" vertical="center"/>
    </xf>
    <xf borderId="20" fillId="0" fontId="4" numFmtId="0" xfId="0" applyBorder="1" applyFont="1"/>
    <xf borderId="10" fillId="8" fontId="5" numFmtId="0" xfId="0" applyAlignment="1" applyBorder="1" applyFill="1" applyFont="1">
      <alignment horizontal="center" readingOrder="0" vertical="center"/>
    </xf>
    <xf borderId="9" fillId="5" fontId="5" numFmtId="168" xfId="0" applyAlignment="1" applyBorder="1" applyFont="1" applyNumberFormat="1">
      <alignment horizontal="center" readingOrder="0" vertical="center"/>
    </xf>
    <xf borderId="9" fillId="9" fontId="5" numFmtId="168" xfId="0" applyAlignment="1" applyBorder="1" applyFill="1" applyFont="1" applyNumberFormat="1">
      <alignment horizontal="center" readingOrder="0" vertical="center"/>
    </xf>
    <xf borderId="9" fillId="10" fontId="5" numFmtId="168" xfId="0" applyAlignment="1" applyBorder="1" applyFill="1" applyFont="1" applyNumberFormat="1">
      <alignment horizontal="center" readingOrder="0" vertical="center"/>
    </xf>
    <xf borderId="9" fillId="11" fontId="5" numFmtId="168" xfId="0" applyAlignment="1" applyBorder="1" applyFill="1" applyFont="1" applyNumberFormat="1">
      <alignment horizontal="center" readingOrder="0" vertical="center"/>
    </xf>
    <xf borderId="9" fillId="6" fontId="5" numFmtId="168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10" fillId="8" fontId="5" numFmtId="169" xfId="0" applyAlignment="1" applyBorder="1" applyFont="1" applyNumberFormat="1">
      <alignment horizontal="center" readingOrder="0" vertical="center"/>
    </xf>
    <xf borderId="9" fillId="5" fontId="5" numFmtId="0" xfId="0" applyAlignment="1" applyBorder="1" applyFont="1">
      <alignment horizontal="center" readingOrder="0" vertical="center"/>
    </xf>
    <xf borderId="9" fillId="9" fontId="5" numFmtId="0" xfId="0" applyAlignment="1" applyBorder="1" applyFont="1">
      <alignment horizontal="center" readingOrder="0" vertical="center"/>
    </xf>
    <xf borderId="9" fillId="10" fontId="5" numFmtId="0" xfId="0" applyAlignment="1" applyBorder="1" applyFont="1">
      <alignment horizontal="center" readingOrder="0" vertical="center"/>
    </xf>
    <xf borderId="9" fillId="11" fontId="5" numFmtId="0" xfId="0" applyAlignment="1" applyBorder="1" applyFon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readingOrder="0" vertical="center"/>
    </xf>
    <xf borderId="21" fillId="5" fontId="10" numFmtId="0" xfId="0" applyAlignment="1" applyBorder="1" applyFont="1">
      <alignment horizontal="center" readingOrder="0" vertical="center"/>
    </xf>
    <xf borderId="21" fillId="9" fontId="10" numFmtId="0" xfId="0" applyAlignment="1" applyBorder="1" applyFont="1">
      <alignment horizontal="center" readingOrder="0" vertical="center"/>
    </xf>
    <xf borderId="21" fillId="10" fontId="10" numFmtId="0" xfId="0" applyAlignment="1" applyBorder="1" applyFont="1">
      <alignment horizontal="center" readingOrder="0" vertical="center"/>
    </xf>
    <xf borderId="21" fillId="11" fontId="10" numFmtId="0" xfId="0" applyAlignment="1" applyBorder="1" applyFont="1">
      <alignment horizontal="center" readingOrder="0" vertical="center"/>
    </xf>
    <xf borderId="21" fillId="6" fontId="10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/>
    </xf>
    <xf borderId="22" fillId="5" fontId="10" numFmtId="0" xfId="0" applyAlignment="1" applyBorder="1" applyFont="1">
      <alignment horizontal="center" readingOrder="0" vertical="center"/>
    </xf>
    <xf borderId="21" fillId="3" fontId="5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/>
    </xf>
    <xf borderId="16" fillId="3" fontId="5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16" fillId="9" fontId="10" numFmtId="0" xfId="0" applyAlignment="1" applyBorder="1" applyFont="1">
      <alignment horizontal="center" readingOrder="0" vertical="center"/>
    </xf>
    <xf borderId="16" fillId="10" fontId="10" numFmtId="0" xfId="0" applyAlignment="1" applyBorder="1" applyFont="1">
      <alignment horizontal="center" readingOrder="0" vertical="center"/>
    </xf>
    <xf borderId="16" fillId="11" fontId="10" numFmtId="0" xfId="0" applyAlignment="1" applyBorder="1" applyFont="1">
      <alignment horizontal="center" readingOrder="0" vertical="center"/>
    </xf>
    <xf borderId="16" fillId="6" fontId="10" numFmtId="0" xfId="0" applyAlignment="1" applyBorder="1" applyFont="1">
      <alignment horizontal="center" readingOrder="0" vertical="center"/>
    </xf>
    <xf borderId="9" fillId="9" fontId="7" numFmtId="0" xfId="0" applyAlignment="1" applyBorder="1" applyFont="1">
      <alignment horizontal="center" readingOrder="0" vertical="center"/>
    </xf>
    <xf borderId="12" fillId="9" fontId="5" numFmtId="9" xfId="0" applyAlignment="1" applyBorder="1" applyFont="1" applyNumberFormat="1">
      <alignment horizontal="center" readingOrder="0" vertical="center"/>
    </xf>
    <xf borderId="12" fillId="9" fontId="5" numFmtId="9" xfId="0" applyAlignment="1" applyBorder="1" applyFont="1" applyNumberFormat="1">
      <alignment horizontal="center" readingOrder="0" vertical="center"/>
    </xf>
    <xf borderId="21" fillId="9" fontId="5" numFmtId="0" xfId="0" applyAlignment="1" applyBorder="1" applyFont="1">
      <alignment horizontal="center" readingOrder="0" vertical="center"/>
    </xf>
    <xf borderId="16" fillId="9" fontId="5" numFmtId="0" xfId="0" applyAlignment="1" applyBorder="1" applyFont="1">
      <alignment horizontal="center" readingOrder="0" vertical="center"/>
    </xf>
    <xf borderId="10" fillId="9" fontId="5" numFmtId="0" xfId="0" applyAlignment="1" applyBorder="1" applyFont="1">
      <alignment horizontal="center" readingOrder="0" vertical="center"/>
    </xf>
    <xf borderId="10" fillId="10" fontId="5" numFmtId="0" xfId="0" applyAlignment="1" applyBorder="1" applyFont="1">
      <alignment horizontal="center" readingOrder="0" vertical="center"/>
    </xf>
    <xf borderId="10" fillId="11" fontId="5" numFmtId="0" xfId="0" applyAlignment="1" applyBorder="1" applyFont="1">
      <alignment horizontal="center" readingOrder="0" vertical="center"/>
    </xf>
    <xf borderId="10" fillId="5" fontId="10" numFmtId="0" xfId="0" applyAlignment="1" applyBorder="1" applyFont="1">
      <alignment horizontal="left" readingOrder="0" vertical="center"/>
    </xf>
    <xf borderId="9" fillId="5" fontId="10" numFmtId="0" xfId="0" applyAlignment="1" applyBorder="1" applyFont="1">
      <alignment horizontal="center" readingOrder="0" vertical="center"/>
    </xf>
    <xf borderId="10" fillId="9" fontId="10" numFmtId="0" xfId="0" applyAlignment="1" applyBorder="1" applyFont="1">
      <alignment horizontal="left" readingOrder="0" vertical="center"/>
    </xf>
    <xf borderId="9" fillId="9" fontId="10" numFmtId="0" xfId="0" applyAlignment="1" applyBorder="1" applyFont="1">
      <alignment horizontal="center" readingOrder="0" vertical="center"/>
    </xf>
    <xf borderId="10" fillId="10" fontId="10" numFmtId="0" xfId="0" applyAlignment="1" applyBorder="1" applyFont="1">
      <alignment horizontal="left" readingOrder="0" vertical="center"/>
    </xf>
    <xf borderId="9" fillId="10" fontId="10" numFmtId="0" xfId="0" applyAlignment="1" applyBorder="1" applyFont="1">
      <alignment horizontal="center" readingOrder="0" vertical="center"/>
    </xf>
    <xf borderId="10" fillId="11" fontId="10" numFmtId="0" xfId="0" applyAlignment="1" applyBorder="1" applyFont="1">
      <alignment horizontal="left" readingOrder="0" vertical="center"/>
    </xf>
    <xf borderId="9" fillId="11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13" fillId="4" fontId="8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3" fontId="15" numFmtId="0" xfId="0" applyFont="1"/>
    <xf borderId="0" fillId="0" fontId="16" numFmtId="0" xfId="0" applyFont="1"/>
    <xf borderId="0" fillId="0" fontId="5" numFmtId="0" xfId="0" applyAlignment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0" xfId="0" applyFont="1"/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13" fillId="4" fontId="2" numFmtId="0" xfId="0" applyAlignment="1" applyBorder="1" applyFont="1">
      <alignment horizontal="center" readingOrder="0" vertical="center"/>
    </xf>
    <xf borderId="12" fillId="4" fontId="13" numFmtId="9" xfId="0" applyAlignment="1" applyBorder="1" applyFont="1" applyNumberFormat="1">
      <alignment horizontal="center" vertical="center"/>
    </xf>
    <xf borderId="13" fillId="6" fontId="13" numFmtId="0" xfId="0" applyBorder="1" applyFont="1"/>
    <xf borderId="13" fillId="5" fontId="13" numFmtId="170" xfId="0" applyAlignment="1" applyBorder="1" applyFont="1" applyNumberFormat="1">
      <alignment horizontal="center" vertical="center"/>
    </xf>
    <xf borderId="0" fillId="3" fontId="13" numFmtId="0" xfId="0" applyFont="1"/>
    <xf borderId="12" fillId="4" fontId="2" numFmtId="0" xfId="0" applyAlignment="1" applyBorder="1" applyFont="1">
      <alignment horizontal="center" readingOrder="0" vertical="center"/>
    </xf>
    <xf borderId="13" fillId="4" fontId="13" numFmtId="0" xfId="0" applyBorder="1" applyFont="1"/>
    <xf borderId="14" fillId="4" fontId="13" numFmtId="0" xfId="0" applyBorder="1" applyFont="1"/>
    <xf borderId="15" fillId="4" fontId="13" numFmtId="0" xfId="0" applyBorder="1" applyFont="1"/>
    <xf borderId="23" fillId="0" fontId="13" numFmtId="0" xfId="0" applyAlignment="1" applyBorder="1" applyFont="1">
      <alignment horizontal="center" readingOrder="0" vertical="center"/>
    </xf>
    <xf borderId="23" fillId="0" fontId="17" numFmtId="0" xfId="0" applyAlignment="1" applyBorder="1" applyFont="1">
      <alignment readingOrder="0"/>
    </xf>
    <xf borderId="24" fillId="0" fontId="5" numFmtId="0" xfId="0" applyAlignment="1" applyBorder="1" applyFont="1">
      <alignment readingOrder="0"/>
    </xf>
    <xf borderId="25" fillId="0" fontId="4" numFmtId="0" xfId="0" applyBorder="1" applyFont="1"/>
    <xf borderId="26" fillId="0" fontId="4" numFmtId="0" xfId="0" applyBorder="1" applyFont="1"/>
    <xf borderId="24" fillId="0" fontId="13" numFmtId="171" xfId="0" applyAlignment="1" applyBorder="1" applyFont="1" applyNumberFormat="1">
      <alignment horizontal="center" readingOrder="0"/>
    </xf>
    <xf borderId="24" fillId="0" fontId="13" numFmtId="49" xfId="0" applyAlignment="1" applyBorder="1" applyFont="1" applyNumberFormat="1">
      <alignment horizontal="center" readingOrder="0"/>
    </xf>
    <xf borderId="24" fillId="12" fontId="13" numFmtId="0" xfId="0" applyAlignment="1" applyBorder="1" applyFill="1" applyFont="1">
      <alignment horizontal="center" readingOrder="0"/>
    </xf>
    <xf borderId="27" fillId="0" fontId="5" numFmtId="0" xfId="0" applyAlignment="1" applyBorder="1" applyFont="1">
      <alignment readingOrder="0"/>
    </xf>
    <xf borderId="27" fillId="0" fontId="4" numFmtId="0" xfId="0" applyBorder="1" applyFont="1"/>
    <xf borderId="28" fillId="4" fontId="13" numFmtId="0" xfId="0" applyBorder="1" applyFont="1"/>
    <xf borderId="0" fillId="4" fontId="13" numFmtId="0" xfId="0" applyAlignment="1" applyFont="1">
      <alignment horizontal="center" readingOrder="0"/>
    </xf>
    <xf borderId="22" fillId="4" fontId="13" numFmtId="0" xfId="0" applyBorder="1" applyFont="1"/>
    <xf borderId="29" fillId="0" fontId="13" numFmtId="0" xfId="0" applyAlignment="1" applyBorder="1" applyFont="1">
      <alignment horizontal="center" readingOrder="0" vertical="center"/>
    </xf>
    <xf borderId="29" fillId="0" fontId="17" numFmtId="0" xfId="0" applyAlignment="1" applyBorder="1" applyFont="1">
      <alignment readingOrder="0"/>
    </xf>
    <xf borderId="30" fillId="0" fontId="5" numFmtId="0" xfId="0" applyAlignment="1" applyBorder="1" applyFont="1">
      <alignment readingOrder="0"/>
    </xf>
    <xf borderId="31" fillId="0" fontId="4" numFmtId="0" xfId="0" applyBorder="1" applyFont="1"/>
    <xf borderId="32" fillId="0" fontId="4" numFmtId="0" xfId="0" applyBorder="1" applyFont="1"/>
    <xf borderId="30" fillId="0" fontId="13" numFmtId="171" xfId="0" applyAlignment="1" applyBorder="1" applyFont="1" applyNumberFormat="1">
      <alignment horizontal="center" readingOrder="0"/>
    </xf>
    <xf borderId="30" fillId="0" fontId="13" numFmtId="49" xfId="0" applyAlignment="1" applyBorder="1" applyFont="1" applyNumberFormat="1">
      <alignment horizontal="center" readingOrder="0"/>
    </xf>
    <xf borderId="30" fillId="12" fontId="13" numFmtId="0" xfId="0" applyAlignment="1" applyBorder="1" applyFont="1">
      <alignment horizontal="center" readingOrder="0"/>
    </xf>
    <xf borderId="31" fillId="0" fontId="5" numFmtId="0" xfId="0" applyAlignment="1" applyBorder="1" applyFont="1">
      <alignment readingOrder="0"/>
    </xf>
    <xf borderId="10" fillId="5" fontId="13" numFmtId="0" xfId="0" applyAlignment="1" applyBorder="1" applyFont="1">
      <alignment horizontal="center"/>
    </xf>
    <xf borderId="0" fillId="4" fontId="13" numFmtId="0" xfId="0" applyFont="1"/>
    <xf borderId="10" fillId="5" fontId="13" numFmtId="0" xfId="0" applyAlignment="1" applyBorder="1" applyFont="1">
      <alignment horizontal="center" readingOrder="0"/>
    </xf>
    <xf borderId="31" fillId="0" fontId="5" numFmtId="0" xfId="0" applyBorder="1" applyFont="1"/>
    <xf borderId="30" fillId="0" fontId="5" numFmtId="0" xfId="0" applyBorder="1" applyFont="1"/>
    <xf borderId="30" fillId="0" fontId="13" numFmtId="171" xfId="0" applyAlignment="1" applyBorder="1" applyFont="1" applyNumberFormat="1">
      <alignment horizontal="center"/>
    </xf>
    <xf borderId="30" fillId="0" fontId="13" numFmtId="49" xfId="0" applyAlignment="1" applyBorder="1" applyFont="1" applyNumberFormat="1">
      <alignment horizontal="center"/>
    </xf>
    <xf borderId="17" fillId="4" fontId="13" numFmtId="0" xfId="0" applyBorder="1" applyFont="1"/>
    <xf borderId="18" fillId="4" fontId="13" numFmtId="0" xfId="0" applyBorder="1" applyFont="1"/>
    <xf borderId="19" fillId="4" fontId="13" numFmtId="0" xfId="0" applyBorder="1" applyFont="1"/>
    <xf borderId="13" fillId="5" fontId="13" numFmtId="0" xfId="0" applyAlignment="1" applyBorder="1" applyFont="1">
      <alignment horizontal="center" readingOrder="0"/>
    </xf>
    <xf borderId="10" fillId="5" fontId="13" numFmtId="0" xfId="0" applyBorder="1" applyFont="1"/>
    <xf borderId="33" fillId="0" fontId="13" numFmtId="0" xfId="0" applyAlignment="1" applyBorder="1" applyFont="1">
      <alignment horizontal="center" readingOrder="0" vertical="center"/>
    </xf>
    <xf borderId="34" fillId="0" fontId="5" numFmtId="0" xfId="0" applyBorder="1" applyFont="1"/>
    <xf borderId="34" fillId="0" fontId="4" numFmtId="0" xfId="0" applyBorder="1" applyFont="1"/>
    <xf borderId="33" fillId="0" fontId="17" numFmtId="0" xfId="0" applyAlignment="1" applyBorder="1" applyFont="1">
      <alignment readingOrder="0"/>
    </xf>
    <xf borderId="35" fillId="0" fontId="5" numFmtId="0" xfId="0" applyBorder="1" applyFont="1"/>
    <xf borderId="36" fillId="0" fontId="4" numFmtId="0" xfId="0" applyBorder="1" applyFont="1"/>
    <xf borderId="37" fillId="0" fontId="4" numFmtId="0" xfId="0" applyBorder="1" applyFont="1"/>
    <xf borderId="35" fillId="0" fontId="13" numFmtId="171" xfId="0" applyAlignment="1" applyBorder="1" applyFont="1" applyNumberFormat="1">
      <alignment horizontal="center"/>
    </xf>
    <xf borderId="35" fillId="0" fontId="13" numFmtId="49" xfId="0" applyAlignment="1" applyBorder="1" applyFont="1" applyNumberFormat="1">
      <alignment horizontal="center"/>
    </xf>
    <xf borderId="35" fillId="12" fontId="13" numFmtId="0" xfId="0" applyAlignment="1" applyBorder="1" applyFont="1">
      <alignment horizontal="center" readingOrder="0"/>
    </xf>
    <xf borderId="0" fillId="0" fontId="18" numFmtId="0" xfId="0" applyFont="1"/>
    <xf borderId="0" fillId="3" fontId="19" numFmtId="0" xfId="0" applyAlignment="1" applyFont="1">
      <alignment horizontal="center" readingOrder="0" vertical="center"/>
    </xf>
    <xf borderId="0" fillId="0" fontId="18" numFmtId="0" xfId="0" applyFont="1"/>
    <xf borderId="0" fillId="0" fontId="19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C9E4B2"/>
          <bgColor rgb="FFC9E4B2"/>
        </patternFill>
      </fill>
      <border/>
    </dxf>
    <dxf>
      <font/>
      <fill>
        <patternFill patternType="solid">
          <fgColor rgb="FFE9CFF3"/>
          <bgColor rgb="FFE9CFF3"/>
        </patternFill>
      </fill>
      <border/>
    </dxf>
    <dxf>
      <font>
        <i/>
        <strike/>
        <color rgb="FFCCCCCC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8B9C0"/>
          <bgColor rgb="FFF8B9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8" width="4.13"/>
  </cols>
  <sheetData>
    <row r="1" ht="21.0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ht="21.0" customHeight="1">
      <c r="B2" s="3" t="s">
        <v>0</v>
      </c>
      <c r="AB2" s="2"/>
    </row>
    <row r="3" ht="21.0" customHeight="1">
      <c r="AB3" s="4"/>
    </row>
    <row r="4" ht="21.0" customHeight="1">
      <c r="AB4" s="2"/>
    </row>
    <row r="5" ht="21.0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</row>
    <row r="6" ht="21.0" customHeight="1">
      <c r="B6" s="5" t="s"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7"/>
      <c r="AB6" s="2"/>
    </row>
    <row r="7" ht="21.0" customHeight="1">
      <c r="B7" s="8" t="s">
        <v>2</v>
      </c>
      <c r="AA7" s="9"/>
      <c r="AB7" s="2"/>
    </row>
    <row r="8" ht="21.0" customHeight="1">
      <c r="B8" s="10" t="s">
        <v>3</v>
      </c>
      <c r="AA8" s="9"/>
      <c r="AB8" s="11"/>
    </row>
    <row r="9" ht="21.0" customHeight="1">
      <c r="B9" s="10" t="s">
        <v>4</v>
      </c>
      <c r="AA9" s="9"/>
      <c r="AB9" s="2"/>
    </row>
    <row r="10" ht="21.0" customHeight="1">
      <c r="B10" s="12" t="s">
        <v>5</v>
      </c>
      <c r="AA10" s="9"/>
      <c r="AB10" s="2"/>
    </row>
    <row r="11" ht="21.0" customHeight="1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  <c r="AB11" s="2"/>
    </row>
    <row r="12" ht="21.0" customHeight="1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  <c r="AB12" s="2"/>
    </row>
    <row r="13" ht="30.75" customHeight="1">
      <c r="B13" s="16" t="s">
        <v>6</v>
      </c>
      <c r="AA13" s="9"/>
      <c r="AB13" s="2"/>
    </row>
    <row r="14" ht="21.0" customHeight="1">
      <c r="B14" s="17"/>
      <c r="AA14" s="9"/>
      <c r="AB14" s="2"/>
    </row>
    <row r="15" ht="21.0" customHeight="1">
      <c r="B15" s="17"/>
      <c r="AA15" s="9"/>
      <c r="AB15" s="2"/>
    </row>
    <row r="16" ht="21.0" customHeight="1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B16" s="2"/>
    </row>
    <row r="17" ht="21.0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</row>
    <row r="18" ht="21.0" customHeight="1">
      <c r="B18" s="21"/>
      <c r="AB18" s="2"/>
    </row>
    <row r="19" ht="21.0" customHeight="1">
      <c r="AB19" s="2"/>
    </row>
    <row r="20" ht="21.0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  <c r="Z20" s="2"/>
      <c r="AA20" s="2"/>
      <c r="AB20" s="2"/>
    </row>
  </sheetData>
  <mergeCells count="8">
    <mergeCell ref="B2:AA4"/>
    <mergeCell ref="B6:AA6"/>
    <mergeCell ref="B7:AA7"/>
    <mergeCell ref="B8:AA8"/>
    <mergeCell ref="B9:AA9"/>
    <mergeCell ref="B10:AA10"/>
    <mergeCell ref="B13:AA16"/>
    <mergeCell ref="B18:AA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7.0"/>
    <col customWidth="1" min="3" max="3" width="7.0"/>
    <col customWidth="1" min="4" max="33" width="4.25"/>
    <col customWidth="1" min="34" max="34" width="5.13"/>
  </cols>
  <sheetData>
    <row r="1" ht="17.25" customHeight="1">
      <c r="A1" s="22"/>
      <c r="B1" s="22"/>
      <c r="C1" s="23"/>
      <c r="D1" s="24"/>
      <c r="E1" s="22"/>
      <c r="F1" s="22"/>
      <c r="G1" s="22"/>
      <c r="H1" s="22"/>
      <c r="I1" s="22"/>
      <c r="J1" s="22"/>
      <c r="K1" s="22"/>
      <c r="L1" s="22"/>
      <c r="M1" s="25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ht="17.25" customHeight="1">
      <c r="A2" s="22"/>
      <c r="B2" s="26" t="s">
        <v>7</v>
      </c>
      <c r="C2" s="27">
        <v>2024.0</v>
      </c>
      <c r="D2" s="28"/>
      <c r="E2" s="22"/>
      <c r="F2" s="22"/>
      <c r="G2" s="22"/>
      <c r="H2" s="22"/>
      <c r="I2" s="22"/>
      <c r="J2" s="22"/>
      <c r="K2" s="22"/>
      <c r="L2" s="22"/>
      <c r="M2" s="25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9"/>
      <c r="AA2" s="22"/>
      <c r="AB2" s="22"/>
      <c r="AC2" s="22"/>
      <c r="AD2" s="22"/>
      <c r="AE2" s="22"/>
      <c r="AF2" s="22"/>
      <c r="AG2" s="22"/>
      <c r="AH2" s="22"/>
    </row>
    <row r="3" ht="27.0" customHeight="1">
      <c r="A3" s="22"/>
      <c r="B3" s="22"/>
      <c r="C3" s="30">
        <f>VLOOKUP(B8,AF35:AH46,2,FALSE)</f>
        <v>2</v>
      </c>
      <c r="D3" s="24">
        <v>2023.0</v>
      </c>
      <c r="E3" s="22"/>
      <c r="F3" s="31"/>
      <c r="G3" s="22"/>
      <c r="H3" s="22"/>
      <c r="I3" s="22"/>
      <c r="J3" s="22"/>
      <c r="K3" s="22"/>
      <c r="L3" s="22"/>
      <c r="M3" s="25"/>
      <c r="N3" s="22"/>
      <c r="O3" s="22"/>
      <c r="P3" s="31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ht="17.25" customHeight="1">
      <c r="A4" s="22"/>
      <c r="B4" s="32" t="s">
        <v>8</v>
      </c>
      <c r="C4" s="33" t="str">
        <f>IFERROR(__xludf.DUMMYFUNCTION("SPARKLINE(COUNTIF(C11:AG22,true),{""charttype"",""bar"";""max"",COUNTA(C11:AG22);""color1"",""#c9e4b2""})"),"")</f>
        <v/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5"/>
      <c r="AF4" s="36">
        <f>COUNTIF(C11:AG22, TRUE)/COUNTA(C11:AG22)</f>
        <v>0</v>
      </c>
      <c r="AG4" s="35"/>
      <c r="AH4" s="22"/>
    </row>
    <row r="5" ht="17.25" customHeight="1">
      <c r="A5" s="22"/>
      <c r="B5" s="37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40"/>
      <c r="AF5" s="38"/>
      <c r="AG5" s="40"/>
      <c r="AH5" s="22"/>
    </row>
    <row r="6" ht="17.25" customHeight="1">
      <c r="A6" s="22"/>
      <c r="B6" s="41" t="s">
        <v>9</v>
      </c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28"/>
      <c r="AH6" s="22"/>
    </row>
    <row r="7" ht="17.2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ht="17.25" customHeight="1">
      <c r="A8" s="22"/>
      <c r="B8" s="32" t="s">
        <v>10</v>
      </c>
      <c r="C8" s="44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8"/>
      <c r="AH8" s="22"/>
    </row>
    <row r="9" ht="17.25" customHeight="1">
      <c r="A9" s="22"/>
      <c r="B9" s="37"/>
      <c r="C9" s="45">
        <f t="shared" ref="C9:AG9" si="1">weekday(date($C$2,$C$3,C10),1)</f>
        <v>5</v>
      </c>
      <c r="D9" s="45">
        <f t="shared" si="1"/>
        <v>6</v>
      </c>
      <c r="E9" s="45">
        <f t="shared" si="1"/>
        <v>7</v>
      </c>
      <c r="F9" s="45">
        <f t="shared" si="1"/>
        <v>1</v>
      </c>
      <c r="G9" s="45">
        <f t="shared" si="1"/>
        <v>2</v>
      </c>
      <c r="H9" s="45">
        <f t="shared" si="1"/>
        <v>3</v>
      </c>
      <c r="I9" s="45">
        <f t="shared" si="1"/>
        <v>4</v>
      </c>
      <c r="J9" s="46">
        <f t="shared" si="1"/>
        <v>5</v>
      </c>
      <c r="K9" s="46">
        <f t="shared" si="1"/>
        <v>6</v>
      </c>
      <c r="L9" s="46">
        <f t="shared" si="1"/>
        <v>7</v>
      </c>
      <c r="M9" s="46">
        <f t="shared" si="1"/>
        <v>1</v>
      </c>
      <c r="N9" s="46">
        <f t="shared" si="1"/>
        <v>2</v>
      </c>
      <c r="O9" s="46">
        <f t="shared" si="1"/>
        <v>3</v>
      </c>
      <c r="P9" s="46">
        <f t="shared" si="1"/>
        <v>4</v>
      </c>
      <c r="Q9" s="47">
        <f t="shared" si="1"/>
        <v>5</v>
      </c>
      <c r="R9" s="47">
        <f t="shared" si="1"/>
        <v>6</v>
      </c>
      <c r="S9" s="47">
        <f t="shared" si="1"/>
        <v>7</v>
      </c>
      <c r="T9" s="47">
        <f t="shared" si="1"/>
        <v>1</v>
      </c>
      <c r="U9" s="47">
        <f t="shared" si="1"/>
        <v>2</v>
      </c>
      <c r="V9" s="47">
        <f t="shared" si="1"/>
        <v>3</v>
      </c>
      <c r="W9" s="47">
        <f t="shared" si="1"/>
        <v>4</v>
      </c>
      <c r="X9" s="48">
        <f t="shared" si="1"/>
        <v>5</v>
      </c>
      <c r="Y9" s="48">
        <f t="shared" si="1"/>
        <v>6</v>
      </c>
      <c r="Z9" s="48">
        <f t="shared" si="1"/>
        <v>7</v>
      </c>
      <c r="AA9" s="48">
        <f t="shared" si="1"/>
        <v>1</v>
      </c>
      <c r="AB9" s="48">
        <f t="shared" si="1"/>
        <v>2</v>
      </c>
      <c r="AC9" s="48">
        <f t="shared" si="1"/>
        <v>3</v>
      </c>
      <c r="AD9" s="48">
        <f t="shared" si="1"/>
        <v>4</v>
      </c>
      <c r="AE9" s="49">
        <f t="shared" si="1"/>
        <v>5</v>
      </c>
      <c r="AF9" s="49">
        <f t="shared" si="1"/>
        <v>6</v>
      </c>
      <c r="AG9" s="49">
        <f t="shared" si="1"/>
        <v>7</v>
      </c>
      <c r="AH9" s="50"/>
    </row>
    <row r="10" ht="17.25" customHeight="1">
      <c r="A10" s="22"/>
      <c r="B10" s="51">
        <f>TODAY()</f>
        <v>46025</v>
      </c>
      <c r="C10" s="52">
        <v>1.0</v>
      </c>
      <c r="D10" s="52">
        <v>2.0</v>
      </c>
      <c r="E10" s="52">
        <v>3.0</v>
      </c>
      <c r="F10" s="52">
        <v>4.0</v>
      </c>
      <c r="G10" s="52">
        <v>5.0</v>
      </c>
      <c r="H10" s="52">
        <v>6.0</v>
      </c>
      <c r="I10" s="52">
        <v>7.0</v>
      </c>
      <c r="J10" s="53">
        <v>8.0</v>
      </c>
      <c r="K10" s="53">
        <v>9.0</v>
      </c>
      <c r="L10" s="53">
        <v>10.0</v>
      </c>
      <c r="M10" s="53">
        <v>11.0</v>
      </c>
      <c r="N10" s="53">
        <v>12.0</v>
      </c>
      <c r="O10" s="53">
        <v>13.0</v>
      </c>
      <c r="P10" s="53">
        <v>14.0</v>
      </c>
      <c r="Q10" s="54">
        <v>15.0</v>
      </c>
      <c r="R10" s="54">
        <v>16.0</v>
      </c>
      <c r="S10" s="54">
        <v>17.0</v>
      </c>
      <c r="T10" s="54">
        <v>18.0</v>
      </c>
      <c r="U10" s="54">
        <v>19.0</v>
      </c>
      <c r="V10" s="54">
        <v>20.0</v>
      </c>
      <c r="W10" s="54">
        <v>21.0</v>
      </c>
      <c r="X10" s="55">
        <v>22.0</v>
      </c>
      <c r="Y10" s="55">
        <v>23.0</v>
      </c>
      <c r="Z10" s="55">
        <v>24.0</v>
      </c>
      <c r="AA10" s="55">
        <v>25.0</v>
      </c>
      <c r="AB10" s="55">
        <v>26.0</v>
      </c>
      <c r="AC10" s="55">
        <v>27.0</v>
      </c>
      <c r="AD10" s="55">
        <v>28.0</v>
      </c>
      <c r="AE10" s="56">
        <v>29.0</v>
      </c>
      <c r="AF10" s="56">
        <v>30.0</v>
      </c>
      <c r="AG10" s="56">
        <v>31.0</v>
      </c>
      <c r="AH10" s="50"/>
    </row>
    <row r="11" ht="17.25" customHeight="1">
      <c r="A11" s="22"/>
      <c r="B11" s="57"/>
      <c r="C11" s="58" t="b">
        <v>0</v>
      </c>
      <c r="D11" s="58" t="b">
        <v>0</v>
      </c>
      <c r="E11" s="58" t="b">
        <v>0</v>
      </c>
      <c r="F11" s="58" t="b">
        <v>0</v>
      </c>
      <c r="G11" s="58" t="b">
        <v>0</v>
      </c>
      <c r="H11" s="58" t="b">
        <v>0</v>
      </c>
      <c r="I11" s="58" t="b">
        <v>0</v>
      </c>
      <c r="J11" s="59" t="b">
        <v>0</v>
      </c>
      <c r="K11" s="59" t="b">
        <v>0</v>
      </c>
      <c r="L11" s="59" t="b">
        <v>0</v>
      </c>
      <c r="M11" s="59" t="b">
        <v>0</v>
      </c>
      <c r="N11" s="59" t="b">
        <v>0</v>
      </c>
      <c r="O11" s="59" t="b">
        <v>0</v>
      </c>
      <c r="P11" s="59" t="b">
        <v>0</v>
      </c>
      <c r="Q11" s="60" t="b">
        <v>0</v>
      </c>
      <c r="R11" s="60" t="b">
        <v>0</v>
      </c>
      <c r="S11" s="60" t="b">
        <v>0</v>
      </c>
      <c r="T11" s="60" t="b">
        <v>0</v>
      </c>
      <c r="U11" s="60" t="b">
        <v>0</v>
      </c>
      <c r="V11" s="60" t="b">
        <v>0</v>
      </c>
      <c r="W11" s="60" t="b">
        <v>0</v>
      </c>
      <c r="X11" s="61" t="b">
        <v>0</v>
      </c>
      <c r="Y11" s="61" t="b">
        <v>0</v>
      </c>
      <c r="Z11" s="61" t="b">
        <v>0</v>
      </c>
      <c r="AA11" s="61" t="b">
        <v>0</v>
      </c>
      <c r="AB11" s="61" t="b">
        <v>0</v>
      </c>
      <c r="AC11" s="61" t="b">
        <v>0</v>
      </c>
      <c r="AD11" s="61" t="b">
        <v>0</v>
      </c>
      <c r="AE11" s="62" t="b">
        <v>0</v>
      </c>
      <c r="AF11" s="62" t="b">
        <v>0</v>
      </c>
      <c r="AG11" s="62" t="b">
        <v>0</v>
      </c>
      <c r="AH11" s="50"/>
    </row>
    <row r="12" ht="17.25" customHeight="1">
      <c r="A12" s="22"/>
      <c r="B12" s="57"/>
      <c r="C12" s="58" t="b">
        <v>0</v>
      </c>
      <c r="D12" s="58" t="b">
        <v>0</v>
      </c>
      <c r="E12" s="58" t="b">
        <v>0</v>
      </c>
      <c r="F12" s="58" t="b">
        <v>0</v>
      </c>
      <c r="G12" s="58" t="b">
        <v>0</v>
      </c>
      <c r="H12" s="58" t="b">
        <v>0</v>
      </c>
      <c r="I12" s="58" t="b">
        <v>0</v>
      </c>
      <c r="J12" s="59" t="b">
        <v>0</v>
      </c>
      <c r="K12" s="59" t="b">
        <v>0</v>
      </c>
      <c r="L12" s="59" t="b">
        <v>0</v>
      </c>
      <c r="M12" s="59" t="b">
        <v>0</v>
      </c>
      <c r="N12" s="59" t="b">
        <v>0</v>
      </c>
      <c r="O12" s="59" t="b">
        <v>0</v>
      </c>
      <c r="P12" s="59" t="b">
        <v>0</v>
      </c>
      <c r="Q12" s="60" t="b">
        <v>0</v>
      </c>
      <c r="R12" s="60" t="b">
        <v>0</v>
      </c>
      <c r="S12" s="60" t="b">
        <v>0</v>
      </c>
      <c r="T12" s="60" t="b">
        <v>0</v>
      </c>
      <c r="U12" s="60" t="b">
        <v>0</v>
      </c>
      <c r="V12" s="60" t="b">
        <v>0</v>
      </c>
      <c r="W12" s="60" t="b">
        <v>0</v>
      </c>
      <c r="X12" s="61" t="b">
        <v>0</v>
      </c>
      <c r="Y12" s="61" t="b">
        <v>0</v>
      </c>
      <c r="Z12" s="61" t="b">
        <v>0</v>
      </c>
      <c r="AA12" s="61" t="b">
        <v>0</v>
      </c>
      <c r="AB12" s="61" t="b">
        <v>0</v>
      </c>
      <c r="AC12" s="61" t="b">
        <v>0</v>
      </c>
      <c r="AD12" s="61" t="b">
        <v>0</v>
      </c>
      <c r="AE12" s="62" t="b">
        <v>0</v>
      </c>
      <c r="AF12" s="62" t="b">
        <v>0</v>
      </c>
      <c r="AG12" s="62" t="b">
        <v>0</v>
      </c>
      <c r="AH12" s="50"/>
    </row>
    <row r="13" ht="17.25" customHeight="1">
      <c r="A13" s="22"/>
      <c r="B13" s="57"/>
      <c r="C13" s="58" t="b">
        <v>0</v>
      </c>
      <c r="D13" s="58" t="b">
        <v>0</v>
      </c>
      <c r="E13" s="58" t="b">
        <v>0</v>
      </c>
      <c r="F13" s="58" t="b">
        <v>0</v>
      </c>
      <c r="G13" s="58" t="b">
        <v>0</v>
      </c>
      <c r="H13" s="58" t="b">
        <v>0</v>
      </c>
      <c r="I13" s="58" t="b">
        <v>0</v>
      </c>
      <c r="J13" s="59" t="b">
        <v>0</v>
      </c>
      <c r="K13" s="59" t="b">
        <v>0</v>
      </c>
      <c r="L13" s="59" t="b">
        <v>0</v>
      </c>
      <c r="M13" s="59" t="b">
        <v>0</v>
      </c>
      <c r="N13" s="59" t="b">
        <v>0</v>
      </c>
      <c r="O13" s="59" t="b">
        <v>0</v>
      </c>
      <c r="P13" s="59" t="b">
        <v>0</v>
      </c>
      <c r="Q13" s="60" t="b">
        <v>0</v>
      </c>
      <c r="R13" s="60" t="b">
        <v>0</v>
      </c>
      <c r="S13" s="60" t="b">
        <v>0</v>
      </c>
      <c r="T13" s="60" t="b">
        <v>0</v>
      </c>
      <c r="U13" s="60" t="b">
        <v>0</v>
      </c>
      <c r="V13" s="60" t="b">
        <v>0</v>
      </c>
      <c r="W13" s="60" t="b">
        <v>0</v>
      </c>
      <c r="X13" s="61" t="b">
        <v>0</v>
      </c>
      <c r="Y13" s="61" t="b">
        <v>0</v>
      </c>
      <c r="Z13" s="61" t="b">
        <v>0</v>
      </c>
      <c r="AA13" s="61" t="b">
        <v>0</v>
      </c>
      <c r="AB13" s="61" t="b">
        <v>0</v>
      </c>
      <c r="AC13" s="61" t="b">
        <v>0</v>
      </c>
      <c r="AD13" s="61" t="b">
        <v>0</v>
      </c>
      <c r="AE13" s="62" t="b">
        <v>0</v>
      </c>
      <c r="AF13" s="62" t="b">
        <v>0</v>
      </c>
      <c r="AG13" s="62" t="b">
        <v>0</v>
      </c>
      <c r="AH13" s="50"/>
    </row>
    <row r="14" ht="17.25" customHeight="1">
      <c r="A14" s="22"/>
      <c r="B14" s="57"/>
      <c r="C14" s="58" t="b">
        <v>0</v>
      </c>
      <c r="D14" s="58" t="b">
        <v>0</v>
      </c>
      <c r="E14" s="58" t="b">
        <v>0</v>
      </c>
      <c r="F14" s="58" t="b">
        <v>0</v>
      </c>
      <c r="G14" s="58" t="b">
        <v>0</v>
      </c>
      <c r="H14" s="58" t="b">
        <v>0</v>
      </c>
      <c r="I14" s="58" t="b">
        <v>0</v>
      </c>
      <c r="J14" s="59" t="b">
        <v>0</v>
      </c>
      <c r="K14" s="59" t="b">
        <v>0</v>
      </c>
      <c r="L14" s="59" t="b">
        <v>0</v>
      </c>
      <c r="M14" s="59" t="b">
        <v>0</v>
      </c>
      <c r="N14" s="59" t="b">
        <v>0</v>
      </c>
      <c r="O14" s="59" t="b">
        <v>0</v>
      </c>
      <c r="P14" s="59" t="b">
        <v>0</v>
      </c>
      <c r="Q14" s="60" t="b">
        <v>0</v>
      </c>
      <c r="R14" s="60" t="b">
        <v>0</v>
      </c>
      <c r="S14" s="60" t="b">
        <v>0</v>
      </c>
      <c r="T14" s="60" t="b">
        <v>0</v>
      </c>
      <c r="U14" s="60" t="b">
        <v>0</v>
      </c>
      <c r="V14" s="60" t="b">
        <v>0</v>
      </c>
      <c r="W14" s="60" t="b">
        <v>0</v>
      </c>
      <c r="X14" s="61" t="b">
        <v>0</v>
      </c>
      <c r="Y14" s="61" t="b">
        <v>0</v>
      </c>
      <c r="Z14" s="61" t="b">
        <v>0</v>
      </c>
      <c r="AA14" s="61" t="b">
        <v>0</v>
      </c>
      <c r="AB14" s="61" t="b">
        <v>0</v>
      </c>
      <c r="AC14" s="61" t="b">
        <v>0</v>
      </c>
      <c r="AD14" s="61" t="b">
        <v>0</v>
      </c>
      <c r="AE14" s="62" t="b">
        <v>0</v>
      </c>
      <c r="AF14" s="62" t="b">
        <v>0</v>
      </c>
      <c r="AG14" s="62" t="b">
        <v>0</v>
      </c>
      <c r="AH14" s="50"/>
    </row>
    <row r="15" ht="17.25" customHeight="1">
      <c r="A15" s="22"/>
      <c r="B15" s="57"/>
      <c r="C15" s="58" t="b">
        <v>0</v>
      </c>
      <c r="D15" s="58" t="b">
        <v>0</v>
      </c>
      <c r="E15" s="58" t="b">
        <v>0</v>
      </c>
      <c r="F15" s="58" t="b">
        <v>0</v>
      </c>
      <c r="G15" s="58" t="b">
        <v>0</v>
      </c>
      <c r="H15" s="58" t="b">
        <v>0</v>
      </c>
      <c r="I15" s="58" t="b">
        <v>0</v>
      </c>
      <c r="J15" s="59" t="b">
        <v>0</v>
      </c>
      <c r="K15" s="59" t="b">
        <v>0</v>
      </c>
      <c r="L15" s="59" t="b">
        <v>0</v>
      </c>
      <c r="M15" s="59" t="b">
        <v>0</v>
      </c>
      <c r="N15" s="59" t="b">
        <v>0</v>
      </c>
      <c r="O15" s="59" t="b">
        <v>0</v>
      </c>
      <c r="P15" s="59" t="b">
        <v>0</v>
      </c>
      <c r="Q15" s="60" t="b">
        <v>0</v>
      </c>
      <c r="R15" s="60" t="b">
        <v>0</v>
      </c>
      <c r="S15" s="60" t="b">
        <v>0</v>
      </c>
      <c r="T15" s="60" t="b">
        <v>0</v>
      </c>
      <c r="U15" s="60" t="b">
        <v>0</v>
      </c>
      <c r="V15" s="60" t="b">
        <v>0</v>
      </c>
      <c r="W15" s="60" t="b">
        <v>0</v>
      </c>
      <c r="X15" s="61" t="b">
        <v>0</v>
      </c>
      <c r="Y15" s="61" t="b">
        <v>0</v>
      </c>
      <c r="Z15" s="61" t="b">
        <v>0</v>
      </c>
      <c r="AA15" s="61" t="b">
        <v>0</v>
      </c>
      <c r="AB15" s="61" t="b">
        <v>0</v>
      </c>
      <c r="AC15" s="61" t="b">
        <v>0</v>
      </c>
      <c r="AD15" s="61" t="b">
        <v>0</v>
      </c>
      <c r="AE15" s="62" t="b">
        <v>0</v>
      </c>
      <c r="AF15" s="62" t="b">
        <v>0</v>
      </c>
      <c r="AG15" s="62" t="b">
        <v>0</v>
      </c>
      <c r="AH15" s="50"/>
    </row>
    <row r="16" ht="17.25" customHeight="1">
      <c r="A16" s="22"/>
      <c r="B16" s="57"/>
      <c r="C16" s="58" t="b">
        <v>0</v>
      </c>
      <c r="D16" s="58" t="b">
        <v>0</v>
      </c>
      <c r="E16" s="58" t="b">
        <v>0</v>
      </c>
      <c r="F16" s="58" t="b">
        <v>0</v>
      </c>
      <c r="G16" s="58" t="b">
        <v>0</v>
      </c>
      <c r="H16" s="58" t="b">
        <v>0</v>
      </c>
      <c r="I16" s="58" t="b">
        <v>0</v>
      </c>
      <c r="J16" s="59" t="b">
        <v>0</v>
      </c>
      <c r="K16" s="59" t="b">
        <v>0</v>
      </c>
      <c r="L16" s="59" t="b">
        <v>0</v>
      </c>
      <c r="M16" s="59" t="b">
        <v>0</v>
      </c>
      <c r="N16" s="59" t="b">
        <v>0</v>
      </c>
      <c r="O16" s="59" t="b">
        <v>0</v>
      </c>
      <c r="P16" s="59" t="b">
        <v>0</v>
      </c>
      <c r="Q16" s="60" t="b">
        <v>0</v>
      </c>
      <c r="R16" s="60" t="b">
        <v>0</v>
      </c>
      <c r="S16" s="60" t="b">
        <v>0</v>
      </c>
      <c r="T16" s="60" t="b">
        <v>0</v>
      </c>
      <c r="U16" s="60" t="b">
        <v>0</v>
      </c>
      <c r="V16" s="60" t="b">
        <v>0</v>
      </c>
      <c r="W16" s="60" t="b">
        <v>0</v>
      </c>
      <c r="X16" s="61" t="b">
        <v>0</v>
      </c>
      <c r="Y16" s="61" t="b">
        <v>0</v>
      </c>
      <c r="Z16" s="61" t="b">
        <v>0</v>
      </c>
      <c r="AA16" s="61" t="b">
        <v>0</v>
      </c>
      <c r="AB16" s="61" t="b">
        <v>0</v>
      </c>
      <c r="AC16" s="61" t="b">
        <v>0</v>
      </c>
      <c r="AD16" s="61" t="b">
        <v>0</v>
      </c>
      <c r="AE16" s="62" t="b">
        <v>0</v>
      </c>
      <c r="AF16" s="62" t="b">
        <v>0</v>
      </c>
      <c r="AG16" s="62" t="b">
        <v>0</v>
      </c>
      <c r="AH16" s="50"/>
    </row>
    <row r="17" ht="17.25" customHeight="1">
      <c r="A17" s="22"/>
      <c r="B17" s="63"/>
      <c r="C17" s="58" t="b">
        <v>0</v>
      </c>
      <c r="D17" s="58" t="b">
        <v>0</v>
      </c>
      <c r="E17" s="58" t="b">
        <v>0</v>
      </c>
      <c r="F17" s="58" t="b">
        <v>0</v>
      </c>
      <c r="G17" s="58" t="b">
        <v>0</v>
      </c>
      <c r="H17" s="58" t="b">
        <v>0</v>
      </c>
      <c r="I17" s="58" t="b">
        <v>0</v>
      </c>
      <c r="J17" s="59" t="b">
        <v>0</v>
      </c>
      <c r="K17" s="59" t="b">
        <v>0</v>
      </c>
      <c r="L17" s="59" t="b">
        <v>0</v>
      </c>
      <c r="M17" s="59" t="b">
        <v>0</v>
      </c>
      <c r="N17" s="59" t="b">
        <v>0</v>
      </c>
      <c r="O17" s="59" t="b">
        <v>0</v>
      </c>
      <c r="P17" s="59" t="b">
        <v>0</v>
      </c>
      <c r="Q17" s="60" t="b">
        <v>0</v>
      </c>
      <c r="R17" s="60" t="b">
        <v>0</v>
      </c>
      <c r="S17" s="60" t="b">
        <v>0</v>
      </c>
      <c r="T17" s="60" t="b">
        <v>0</v>
      </c>
      <c r="U17" s="60" t="b">
        <v>0</v>
      </c>
      <c r="V17" s="60" t="b">
        <v>0</v>
      </c>
      <c r="W17" s="60" t="b">
        <v>0</v>
      </c>
      <c r="X17" s="61" t="b">
        <v>0</v>
      </c>
      <c r="Y17" s="61" t="b">
        <v>0</v>
      </c>
      <c r="Z17" s="61" t="b">
        <v>0</v>
      </c>
      <c r="AA17" s="61" t="b">
        <v>0</v>
      </c>
      <c r="AB17" s="61" t="b">
        <v>0</v>
      </c>
      <c r="AC17" s="61" t="b">
        <v>0</v>
      </c>
      <c r="AD17" s="61" t="b">
        <v>0</v>
      </c>
      <c r="AE17" s="62" t="b">
        <v>0</v>
      </c>
      <c r="AF17" s="62" t="b">
        <v>0</v>
      </c>
      <c r="AG17" s="62" t="b">
        <v>0</v>
      </c>
      <c r="AH17" s="50"/>
    </row>
    <row r="18" ht="17.25" customHeight="1">
      <c r="A18" s="22"/>
      <c r="B18" s="64"/>
      <c r="C18" s="65" t="b">
        <v>0</v>
      </c>
      <c r="D18" s="58" t="b">
        <v>0</v>
      </c>
      <c r="E18" s="58" t="b">
        <v>0</v>
      </c>
      <c r="F18" s="58" t="b">
        <v>0</v>
      </c>
      <c r="G18" s="58" t="b">
        <v>0</v>
      </c>
      <c r="H18" s="58" t="b">
        <v>0</v>
      </c>
      <c r="I18" s="58" t="b">
        <v>0</v>
      </c>
      <c r="J18" s="59" t="b">
        <v>0</v>
      </c>
      <c r="K18" s="59" t="b">
        <v>0</v>
      </c>
      <c r="L18" s="59" t="b">
        <v>0</v>
      </c>
      <c r="M18" s="59" t="b">
        <v>0</v>
      </c>
      <c r="N18" s="59" t="b">
        <v>0</v>
      </c>
      <c r="O18" s="59" t="b">
        <v>0</v>
      </c>
      <c r="P18" s="59" t="b">
        <v>0</v>
      </c>
      <c r="Q18" s="60" t="b">
        <v>0</v>
      </c>
      <c r="R18" s="60" t="b">
        <v>0</v>
      </c>
      <c r="S18" s="60" t="b">
        <v>0</v>
      </c>
      <c r="T18" s="60" t="b">
        <v>0</v>
      </c>
      <c r="U18" s="60" t="b">
        <v>0</v>
      </c>
      <c r="V18" s="60" t="b">
        <v>0</v>
      </c>
      <c r="W18" s="60" t="b">
        <v>0</v>
      </c>
      <c r="X18" s="61" t="b">
        <v>0</v>
      </c>
      <c r="Y18" s="61" t="b">
        <v>0</v>
      </c>
      <c r="Z18" s="61" t="b">
        <v>0</v>
      </c>
      <c r="AA18" s="61" t="b">
        <v>0</v>
      </c>
      <c r="AB18" s="61" t="b">
        <v>0</v>
      </c>
      <c r="AC18" s="61" t="b">
        <v>0</v>
      </c>
      <c r="AD18" s="61" t="b">
        <v>0</v>
      </c>
      <c r="AE18" s="62" t="b">
        <v>0</v>
      </c>
      <c r="AF18" s="62" t="b">
        <v>0</v>
      </c>
      <c r="AG18" s="62" t="b">
        <v>0</v>
      </c>
      <c r="AH18" s="50"/>
    </row>
    <row r="19" ht="17.25" customHeight="1">
      <c r="A19" s="22"/>
      <c r="B19" s="66"/>
      <c r="C19" s="58" t="b">
        <v>0</v>
      </c>
      <c r="D19" s="58" t="b">
        <v>0</v>
      </c>
      <c r="E19" s="58" t="b">
        <v>0</v>
      </c>
      <c r="F19" s="58" t="b">
        <v>0</v>
      </c>
      <c r="G19" s="58" t="b">
        <v>0</v>
      </c>
      <c r="H19" s="58" t="b">
        <v>0</v>
      </c>
      <c r="I19" s="58" t="b">
        <v>0</v>
      </c>
      <c r="J19" s="59" t="b">
        <v>0</v>
      </c>
      <c r="K19" s="59" t="b">
        <v>0</v>
      </c>
      <c r="L19" s="59" t="b">
        <v>0</v>
      </c>
      <c r="M19" s="59" t="b">
        <v>0</v>
      </c>
      <c r="N19" s="59" t="b">
        <v>0</v>
      </c>
      <c r="O19" s="59" t="b">
        <v>0</v>
      </c>
      <c r="P19" s="59" t="b">
        <v>0</v>
      </c>
      <c r="Q19" s="60" t="b">
        <v>0</v>
      </c>
      <c r="R19" s="60" t="b">
        <v>0</v>
      </c>
      <c r="S19" s="60" t="b">
        <v>0</v>
      </c>
      <c r="T19" s="60" t="b">
        <v>0</v>
      </c>
      <c r="U19" s="60" t="b">
        <v>0</v>
      </c>
      <c r="V19" s="60" t="b">
        <v>0</v>
      </c>
      <c r="W19" s="60" t="b">
        <v>0</v>
      </c>
      <c r="X19" s="61" t="b">
        <v>0</v>
      </c>
      <c r="Y19" s="61" t="b">
        <v>0</v>
      </c>
      <c r="Z19" s="61" t="b">
        <v>0</v>
      </c>
      <c r="AA19" s="61" t="b">
        <v>0</v>
      </c>
      <c r="AB19" s="61" t="b">
        <v>0</v>
      </c>
      <c r="AC19" s="61" t="b">
        <v>0</v>
      </c>
      <c r="AD19" s="61" t="b">
        <v>0</v>
      </c>
      <c r="AE19" s="62" t="b">
        <v>0</v>
      </c>
      <c r="AF19" s="62" t="b">
        <v>0</v>
      </c>
      <c r="AG19" s="62" t="b">
        <v>0</v>
      </c>
      <c r="AH19" s="50"/>
    </row>
    <row r="20" ht="17.25" customHeight="1">
      <c r="A20" s="22"/>
      <c r="B20" s="67"/>
      <c r="C20" s="65" t="b">
        <v>0</v>
      </c>
      <c r="D20" s="58" t="b">
        <v>0</v>
      </c>
      <c r="E20" s="58" t="b">
        <v>0</v>
      </c>
      <c r="F20" s="58" t="b">
        <v>0</v>
      </c>
      <c r="G20" s="58" t="b">
        <v>0</v>
      </c>
      <c r="H20" s="58" t="b">
        <v>0</v>
      </c>
      <c r="I20" s="58" t="b">
        <v>0</v>
      </c>
      <c r="J20" s="59" t="b">
        <v>0</v>
      </c>
      <c r="K20" s="59" t="b">
        <v>0</v>
      </c>
      <c r="L20" s="59" t="b">
        <v>0</v>
      </c>
      <c r="M20" s="59" t="b">
        <v>0</v>
      </c>
      <c r="N20" s="59" t="b">
        <v>0</v>
      </c>
      <c r="O20" s="59" t="b">
        <v>0</v>
      </c>
      <c r="P20" s="59" t="b">
        <v>0</v>
      </c>
      <c r="Q20" s="60" t="b">
        <v>0</v>
      </c>
      <c r="R20" s="60" t="b">
        <v>0</v>
      </c>
      <c r="S20" s="60" t="b">
        <v>0</v>
      </c>
      <c r="T20" s="60" t="b">
        <v>0</v>
      </c>
      <c r="U20" s="60" t="b">
        <v>0</v>
      </c>
      <c r="V20" s="60" t="b">
        <v>0</v>
      </c>
      <c r="W20" s="60" t="b">
        <v>0</v>
      </c>
      <c r="X20" s="61" t="b">
        <v>0</v>
      </c>
      <c r="Y20" s="61" t="b">
        <v>0</v>
      </c>
      <c r="Z20" s="61" t="b">
        <v>0</v>
      </c>
      <c r="AA20" s="61" t="b">
        <v>0</v>
      </c>
      <c r="AB20" s="61" t="b">
        <v>0</v>
      </c>
      <c r="AC20" s="61" t="b">
        <v>0</v>
      </c>
      <c r="AD20" s="61" t="b">
        <v>0</v>
      </c>
      <c r="AE20" s="62" t="b">
        <v>0</v>
      </c>
      <c r="AF20" s="62" t="b">
        <v>0</v>
      </c>
      <c r="AG20" s="62" t="b">
        <v>0</v>
      </c>
      <c r="AH20" s="50"/>
    </row>
    <row r="21" ht="17.25" customHeight="1">
      <c r="A21" s="22"/>
      <c r="B21" s="68"/>
      <c r="C21" s="58" t="b">
        <v>0</v>
      </c>
      <c r="D21" s="58" t="b">
        <v>0</v>
      </c>
      <c r="E21" s="58" t="b">
        <v>0</v>
      </c>
      <c r="F21" s="58" t="b">
        <v>0</v>
      </c>
      <c r="G21" s="58" t="b">
        <v>0</v>
      </c>
      <c r="H21" s="58" t="b">
        <v>0</v>
      </c>
      <c r="I21" s="58" t="b">
        <v>0</v>
      </c>
      <c r="J21" s="59" t="b">
        <v>0</v>
      </c>
      <c r="K21" s="59" t="b">
        <v>0</v>
      </c>
      <c r="L21" s="59" t="b">
        <v>0</v>
      </c>
      <c r="M21" s="59" t="b">
        <v>0</v>
      </c>
      <c r="N21" s="59" t="b">
        <v>0</v>
      </c>
      <c r="O21" s="59" t="b">
        <v>0</v>
      </c>
      <c r="P21" s="59" t="b">
        <v>0</v>
      </c>
      <c r="Q21" s="60" t="b">
        <v>0</v>
      </c>
      <c r="R21" s="60" t="b">
        <v>0</v>
      </c>
      <c r="S21" s="60" t="b">
        <v>0</v>
      </c>
      <c r="T21" s="60" t="b">
        <v>0</v>
      </c>
      <c r="U21" s="60" t="b">
        <v>0</v>
      </c>
      <c r="V21" s="60" t="b">
        <v>0</v>
      </c>
      <c r="W21" s="60" t="b">
        <v>0</v>
      </c>
      <c r="X21" s="61" t="b">
        <v>0</v>
      </c>
      <c r="Y21" s="61" t="b">
        <v>0</v>
      </c>
      <c r="Z21" s="61" t="b">
        <v>0</v>
      </c>
      <c r="AA21" s="61" t="b">
        <v>0</v>
      </c>
      <c r="AB21" s="61" t="b">
        <v>0</v>
      </c>
      <c r="AC21" s="61" t="b">
        <v>0</v>
      </c>
      <c r="AD21" s="61" t="b">
        <v>0</v>
      </c>
      <c r="AE21" s="62" t="b">
        <v>0</v>
      </c>
      <c r="AF21" s="62" t="b">
        <v>0</v>
      </c>
      <c r="AG21" s="62" t="b">
        <v>0</v>
      </c>
      <c r="AH21" s="50"/>
    </row>
    <row r="22" ht="17.25" customHeight="1">
      <c r="A22" s="22"/>
      <c r="B22" s="57"/>
      <c r="C22" s="69" t="b">
        <v>0</v>
      </c>
      <c r="D22" s="69" t="b">
        <v>0</v>
      </c>
      <c r="E22" s="69" t="b">
        <v>0</v>
      </c>
      <c r="F22" s="69" t="b">
        <v>0</v>
      </c>
      <c r="G22" s="69" t="b">
        <v>0</v>
      </c>
      <c r="H22" s="69" t="b">
        <v>0</v>
      </c>
      <c r="I22" s="69" t="b">
        <v>0</v>
      </c>
      <c r="J22" s="70" t="b">
        <v>0</v>
      </c>
      <c r="K22" s="70" t="b">
        <v>0</v>
      </c>
      <c r="L22" s="70" t="b">
        <v>0</v>
      </c>
      <c r="M22" s="70" t="b">
        <v>0</v>
      </c>
      <c r="N22" s="70" t="b">
        <v>0</v>
      </c>
      <c r="O22" s="70" t="b">
        <v>0</v>
      </c>
      <c r="P22" s="70" t="b">
        <v>0</v>
      </c>
      <c r="Q22" s="71" t="b">
        <v>0</v>
      </c>
      <c r="R22" s="71" t="b">
        <v>0</v>
      </c>
      <c r="S22" s="71" t="b">
        <v>0</v>
      </c>
      <c r="T22" s="71" t="b">
        <v>0</v>
      </c>
      <c r="U22" s="71" t="b">
        <v>0</v>
      </c>
      <c r="V22" s="71" t="b">
        <v>0</v>
      </c>
      <c r="W22" s="71" t="b">
        <v>0</v>
      </c>
      <c r="X22" s="72" t="b">
        <v>0</v>
      </c>
      <c r="Y22" s="72" t="b">
        <v>0</v>
      </c>
      <c r="Z22" s="72" t="b">
        <v>0</v>
      </c>
      <c r="AA22" s="72" t="b">
        <v>0</v>
      </c>
      <c r="AB22" s="72" t="b">
        <v>0</v>
      </c>
      <c r="AC22" s="72" t="b">
        <v>0</v>
      </c>
      <c r="AD22" s="72" t="b">
        <v>0</v>
      </c>
      <c r="AE22" s="73" t="b">
        <v>0</v>
      </c>
      <c r="AF22" s="73" t="b">
        <v>0</v>
      </c>
      <c r="AG22" s="73" t="b">
        <v>0</v>
      </c>
      <c r="AH22" s="50"/>
    </row>
    <row r="23" ht="17.25" customHeight="1">
      <c r="A23" s="22"/>
      <c r="B23" s="22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ht="17.25" customHeight="1">
      <c r="A24" s="22"/>
      <c r="B24" s="74" t="s">
        <v>11</v>
      </c>
      <c r="C24" s="75">
        <f t="shared" ref="C24:AG24" si="2">COUNTIF(C11:C22, TRUE)/COUNTA(C11:C22)</f>
        <v>0</v>
      </c>
      <c r="D24" s="76">
        <f t="shared" si="2"/>
        <v>0</v>
      </c>
      <c r="E24" s="76">
        <f t="shared" si="2"/>
        <v>0</v>
      </c>
      <c r="F24" s="76">
        <f t="shared" si="2"/>
        <v>0</v>
      </c>
      <c r="G24" s="76">
        <f t="shared" si="2"/>
        <v>0</v>
      </c>
      <c r="H24" s="76">
        <f t="shared" si="2"/>
        <v>0</v>
      </c>
      <c r="I24" s="76">
        <f t="shared" si="2"/>
        <v>0</v>
      </c>
      <c r="J24" s="76">
        <f t="shared" si="2"/>
        <v>0</v>
      </c>
      <c r="K24" s="76">
        <f t="shared" si="2"/>
        <v>0</v>
      </c>
      <c r="L24" s="76">
        <f t="shared" si="2"/>
        <v>0</v>
      </c>
      <c r="M24" s="76">
        <f t="shared" si="2"/>
        <v>0</v>
      </c>
      <c r="N24" s="76">
        <f t="shared" si="2"/>
        <v>0</v>
      </c>
      <c r="O24" s="76">
        <f t="shared" si="2"/>
        <v>0</v>
      </c>
      <c r="P24" s="76">
        <f t="shared" si="2"/>
        <v>0</v>
      </c>
      <c r="Q24" s="76">
        <f t="shared" si="2"/>
        <v>0</v>
      </c>
      <c r="R24" s="76">
        <f t="shared" si="2"/>
        <v>0</v>
      </c>
      <c r="S24" s="76">
        <f t="shared" si="2"/>
        <v>0</v>
      </c>
      <c r="T24" s="76">
        <f t="shared" si="2"/>
        <v>0</v>
      </c>
      <c r="U24" s="76">
        <f t="shared" si="2"/>
        <v>0</v>
      </c>
      <c r="V24" s="76">
        <f t="shared" si="2"/>
        <v>0</v>
      </c>
      <c r="W24" s="76">
        <f t="shared" si="2"/>
        <v>0</v>
      </c>
      <c r="X24" s="76">
        <f t="shared" si="2"/>
        <v>0</v>
      </c>
      <c r="Y24" s="76">
        <f t="shared" si="2"/>
        <v>0</v>
      </c>
      <c r="Z24" s="76">
        <f t="shared" si="2"/>
        <v>0</v>
      </c>
      <c r="AA24" s="76">
        <f t="shared" si="2"/>
        <v>0</v>
      </c>
      <c r="AB24" s="76">
        <f t="shared" si="2"/>
        <v>0</v>
      </c>
      <c r="AC24" s="76">
        <f t="shared" si="2"/>
        <v>0</v>
      </c>
      <c r="AD24" s="76">
        <f t="shared" si="2"/>
        <v>0</v>
      </c>
      <c r="AE24" s="76">
        <f t="shared" si="2"/>
        <v>0</v>
      </c>
      <c r="AF24" s="76">
        <f t="shared" si="2"/>
        <v>0</v>
      </c>
      <c r="AG24" s="76">
        <f t="shared" si="2"/>
        <v>0</v>
      </c>
      <c r="AH24" s="50"/>
    </row>
    <row r="25" ht="17.25" customHeight="1">
      <c r="A25" s="22"/>
      <c r="B25" s="74" t="s">
        <v>12</v>
      </c>
      <c r="C25" s="77">
        <f t="shared" ref="C25:AG25" si="3">COUNTIF(C11:C22, true)</f>
        <v>0</v>
      </c>
      <c r="D25" s="77">
        <f t="shared" si="3"/>
        <v>0</v>
      </c>
      <c r="E25" s="77">
        <f t="shared" si="3"/>
        <v>0</v>
      </c>
      <c r="F25" s="77">
        <f t="shared" si="3"/>
        <v>0</v>
      </c>
      <c r="G25" s="77">
        <f t="shared" si="3"/>
        <v>0</v>
      </c>
      <c r="H25" s="77">
        <f t="shared" si="3"/>
        <v>0</v>
      </c>
      <c r="I25" s="77">
        <f t="shared" si="3"/>
        <v>0</v>
      </c>
      <c r="J25" s="77">
        <f t="shared" si="3"/>
        <v>0</v>
      </c>
      <c r="K25" s="77">
        <f t="shared" si="3"/>
        <v>0</v>
      </c>
      <c r="L25" s="77">
        <f t="shared" si="3"/>
        <v>0</v>
      </c>
      <c r="M25" s="77">
        <f t="shared" si="3"/>
        <v>0</v>
      </c>
      <c r="N25" s="77">
        <f t="shared" si="3"/>
        <v>0</v>
      </c>
      <c r="O25" s="77">
        <f t="shared" si="3"/>
        <v>0</v>
      </c>
      <c r="P25" s="77">
        <f t="shared" si="3"/>
        <v>0</v>
      </c>
      <c r="Q25" s="77">
        <f t="shared" si="3"/>
        <v>0</v>
      </c>
      <c r="R25" s="77">
        <f t="shared" si="3"/>
        <v>0</v>
      </c>
      <c r="S25" s="77">
        <f t="shared" si="3"/>
        <v>0</v>
      </c>
      <c r="T25" s="77">
        <f t="shared" si="3"/>
        <v>0</v>
      </c>
      <c r="U25" s="77">
        <f t="shared" si="3"/>
        <v>0</v>
      </c>
      <c r="V25" s="77">
        <f t="shared" si="3"/>
        <v>0</v>
      </c>
      <c r="W25" s="77">
        <f t="shared" si="3"/>
        <v>0</v>
      </c>
      <c r="X25" s="77">
        <f t="shared" si="3"/>
        <v>0</v>
      </c>
      <c r="Y25" s="77">
        <f t="shared" si="3"/>
        <v>0</v>
      </c>
      <c r="Z25" s="77">
        <f t="shared" si="3"/>
        <v>0</v>
      </c>
      <c r="AA25" s="77">
        <f t="shared" si="3"/>
        <v>0</v>
      </c>
      <c r="AB25" s="77">
        <f t="shared" si="3"/>
        <v>0</v>
      </c>
      <c r="AC25" s="77">
        <f t="shared" si="3"/>
        <v>0</v>
      </c>
      <c r="AD25" s="77">
        <f t="shared" si="3"/>
        <v>0</v>
      </c>
      <c r="AE25" s="77">
        <f t="shared" si="3"/>
        <v>0</v>
      </c>
      <c r="AF25" s="77">
        <f t="shared" si="3"/>
        <v>0</v>
      </c>
      <c r="AG25" s="77">
        <f t="shared" si="3"/>
        <v>0</v>
      </c>
      <c r="AH25" s="50"/>
    </row>
    <row r="26" ht="17.25" customHeight="1">
      <c r="A26" s="22"/>
      <c r="B26" s="74" t="s">
        <v>13</v>
      </c>
      <c r="C26" s="78">
        <f t="shared" ref="C26:AG26" si="4">COUNTIF(C11:C22, false)</f>
        <v>12</v>
      </c>
      <c r="D26" s="78">
        <f t="shared" si="4"/>
        <v>12</v>
      </c>
      <c r="E26" s="78">
        <f t="shared" si="4"/>
        <v>12</v>
      </c>
      <c r="F26" s="78">
        <f t="shared" si="4"/>
        <v>12</v>
      </c>
      <c r="G26" s="78">
        <f t="shared" si="4"/>
        <v>12</v>
      </c>
      <c r="H26" s="78">
        <f t="shared" si="4"/>
        <v>12</v>
      </c>
      <c r="I26" s="78">
        <f t="shared" si="4"/>
        <v>12</v>
      </c>
      <c r="J26" s="78">
        <f t="shared" si="4"/>
        <v>12</v>
      </c>
      <c r="K26" s="78">
        <f t="shared" si="4"/>
        <v>12</v>
      </c>
      <c r="L26" s="78">
        <f t="shared" si="4"/>
        <v>12</v>
      </c>
      <c r="M26" s="78">
        <f t="shared" si="4"/>
        <v>12</v>
      </c>
      <c r="N26" s="78">
        <f t="shared" si="4"/>
        <v>12</v>
      </c>
      <c r="O26" s="78">
        <f t="shared" si="4"/>
        <v>12</v>
      </c>
      <c r="P26" s="78">
        <f t="shared" si="4"/>
        <v>12</v>
      </c>
      <c r="Q26" s="78">
        <f t="shared" si="4"/>
        <v>12</v>
      </c>
      <c r="R26" s="78">
        <f t="shared" si="4"/>
        <v>12</v>
      </c>
      <c r="S26" s="78">
        <f t="shared" si="4"/>
        <v>12</v>
      </c>
      <c r="T26" s="78">
        <f t="shared" si="4"/>
        <v>12</v>
      </c>
      <c r="U26" s="78">
        <f t="shared" si="4"/>
        <v>12</v>
      </c>
      <c r="V26" s="78">
        <f t="shared" si="4"/>
        <v>12</v>
      </c>
      <c r="W26" s="78">
        <f t="shared" si="4"/>
        <v>12</v>
      </c>
      <c r="X26" s="78">
        <f t="shared" si="4"/>
        <v>12</v>
      </c>
      <c r="Y26" s="78">
        <f t="shared" si="4"/>
        <v>12</v>
      </c>
      <c r="Z26" s="78">
        <f t="shared" si="4"/>
        <v>12</v>
      </c>
      <c r="AA26" s="78">
        <f t="shared" si="4"/>
        <v>12</v>
      </c>
      <c r="AB26" s="78">
        <f t="shared" si="4"/>
        <v>12</v>
      </c>
      <c r="AC26" s="78">
        <f t="shared" si="4"/>
        <v>12</v>
      </c>
      <c r="AD26" s="78">
        <f t="shared" si="4"/>
        <v>12</v>
      </c>
      <c r="AE26" s="78">
        <f t="shared" si="4"/>
        <v>12</v>
      </c>
      <c r="AF26" s="78">
        <f t="shared" si="4"/>
        <v>12</v>
      </c>
      <c r="AG26" s="78">
        <f t="shared" si="4"/>
        <v>12</v>
      </c>
      <c r="AH26" s="50"/>
    </row>
    <row r="27" ht="17.25" customHeight="1">
      <c r="A27" s="22"/>
      <c r="B27" s="22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ht="17.25" customHeight="1">
      <c r="A28" s="22"/>
      <c r="B28" s="32" t="s">
        <v>14</v>
      </c>
      <c r="C28" s="27" t="s">
        <v>15</v>
      </c>
      <c r="D28" s="43"/>
      <c r="E28" s="43"/>
      <c r="F28" s="43"/>
      <c r="G28" s="43"/>
      <c r="H28" s="28"/>
      <c r="I28" s="52"/>
      <c r="J28" s="79" t="s">
        <v>16</v>
      </c>
      <c r="K28" s="43"/>
      <c r="L28" s="43"/>
      <c r="M28" s="43"/>
      <c r="N28" s="43"/>
      <c r="O28" s="28"/>
      <c r="P28" s="53"/>
      <c r="Q28" s="80" t="s">
        <v>17</v>
      </c>
      <c r="R28" s="43"/>
      <c r="S28" s="43"/>
      <c r="T28" s="43"/>
      <c r="U28" s="43"/>
      <c r="V28" s="28"/>
      <c r="W28" s="54"/>
      <c r="X28" s="81" t="s">
        <v>18</v>
      </c>
      <c r="Y28" s="43"/>
      <c r="Z28" s="43"/>
      <c r="AA28" s="43"/>
      <c r="AB28" s="43"/>
      <c r="AC28" s="28"/>
      <c r="AD28" s="55"/>
      <c r="AE28" s="22"/>
      <c r="AF28" s="22"/>
      <c r="AG28" s="22"/>
      <c r="AH28" s="22"/>
    </row>
    <row r="29" ht="17.25" customHeight="1">
      <c r="A29" s="22"/>
      <c r="B29" s="37"/>
      <c r="C29" s="82"/>
      <c r="D29" s="43"/>
      <c r="E29" s="43"/>
      <c r="F29" s="43"/>
      <c r="G29" s="43"/>
      <c r="H29" s="28"/>
      <c r="I29" s="83" t="b">
        <v>0</v>
      </c>
      <c r="J29" s="84"/>
      <c r="K29" s="43"/>
      <c r="L29" s="43"/>
      <c r="M29" s="43"/>
      <c r="N29" s="43"/>
      <c r="O29" s="28"/>
      <c r="P29" s="85" t="b">
        <v>0</v>
      </c>
      <c r="Q29" s="86"/>
      <c r="R29" s="43"/>
      <c r="S29" s="43"/>
      <c r="T29" s="43"/>
      <c r="U29" s="43"/>
      <c r="V29" s="28"/>
      <c r="W29" s="87" t="b">
        <v>0</v>
      </c>
      <c r="X29" s="88"/>
      <c r="Y29" s="43"/>
      <c r="Z29" s="43"/>
      <c r="AA29" s="43"/>
      <c r="AB29" s="43"/>
      <c r="AC29" s="28"/>
      <c r="AD29" s="89" t="b">
        <v>0</v>
      </c>
      <c r="AE29" s="22"/>
      <c r="AF29" s="22"/>
      <c r="AG29" s="22"/>
      <c r="AH29" s="22"/>
    </row>
    <row r="30" ht="17.25" customHeight="1">
      <c r="A30" s="22"/>
      <c r="B30" s="22"/>
      <c r="C30" s="82"/>
      <c r="D30" s="43"/>
      <c r="E30" s="43"/>
      <c r="F30" s="43"/>
      <c r="G30" s="43"/>
      <c r="H30" s="28"/>
      <c r="I30" s="83" t="b">
        <v>0</v>
      </c>
      <c r="J30" s="84"/>
      <c r="K30" s="43"/>
      <c r="L30" s="43"/>
      <c r="M30" s="43"/>
      <c r="N30" s="43"/>
      <c r="O30" s="28"/>
      <c r="P30" s="85" t="b">
        <v>0</v>
      </c>
      <c r="Q30" s="86"/>
      <c r="R30" s="43"/>
      <c r="S30" s="43"/>
      <c r="T30" s="43"/>
      <c r="U30" s="43"/>
      <c r="V30" s="28"/>
      <c r="W30" s="87" t="b">
        <v>0</v>
      </c>
      <c r="X30" s="88"/>
      <c r="Y30" s="43"/>
      <c r="Z30" s="43"/>
      <c r="AA30" s="43"/>
      <c r="AB30" s="43"/>
      <c r="AC30" s="28"/>
      <c r="AD30" s="89" t="b">
        <v>0</v>
      </c>
      <c r="AE30" s="22"/>
      <c r="AF30" s="22"/>
      <c r="AG30" s="22"/>
      <c r="AH30" s="22"/>
    </row>
    <row r="31" ht="17.25" customHeight="1">
      <c r="A31" s="22"/>
      <c r="B31" s="22"/>
      <c r="C31" s="82"/>
      <c r="D31" s="43"/>
      <c r="E31" s="43"/>
      <c r="F31" s="43"/>
      <c r="G31" s="43"/>
      <c r="H31" s="28"/>
      <c r="I31" s="83" t="b">
        <v>0</v>
      </c>
      <c r="J31" s="84"/>
      <c r="K31" s="43"/>
      <c r="L31" s="43"/>
      <c r="M31" s="43"/>
      <c r="N31" s="43"/>
      <c r="O31" s="28"/>
      <c r="P31" s="85" t="b">
        <v>0</v>
      </c>
      <c r="Q31" s="86"/>
      <c r="R31" s="43"/>
      <c r="S31" s="43"/>
      <c r="T31" s="43"/>
      <c r="U31" s="43"/>
      <c r="V31" s="28"/>
      <c r="W31" s="87" t="b">
        <v>0</v>
      </c>
      <c r="X31" s="88"/>
      <c r="Y31" s="43"/>
      <c r="Z31" s="43"/>
      <c r="AA31" s="43"/>
      <c r="AB31" s="43"/>
      <c r="AC31" s="28"/>
      <c r="AD31" s="89" t="b">
        <v>0</v>
      </c>
      <c r="AE31" s="22"/>
      <c r="AF31" s="22"/>
      <c r="AG31" s="22"/>
      <c r="AH31" s="22"/>
    </row>
    <row r="32" ht="17.25" customHeight="1">
      <c r="A32" s="22"/>
      <c r="B32" s="22"/>
      <c r="C32" s="82"/>
      <c r="D32" s="43"/>
      <c r="E32" s="43"/>
      <c r="F32" s="43"/>
      <c r="G32" s="43"/>
      <c r="H32" s="28"/>
      <c r="I32" s="83" t="b">
        <v>0</v>
      </c>
      <c r="J32" s="84"/>
      <c r="K32" s="43"/>
      <c r="L32" s="43"/>
      <c r="M32" s="43"/>
      <c r="N32" s="43"/>
      <c r="O32" s="28"/>
      <c r="P32" s="85" t="b">
        <v>0</v>
      </c>
      <c r="Q32" s="86"/>
      <c r="R32" s="43"/>
      <c r="S32" s="43"/>
      <c r="T32" s="43"/>
      <c r="U32" s="43"/>
      <c r="V32" s="28"/>
      <c r="W32" s="87" t="b">
        <v>0</v>
      </c>
      <c r="X32" s="88"/>
      <c r="Y32" s="43"/>
      <c r="Z32" s="43"/>
      <c r="AA32" s="43"/>
      <c r="AB32" s="43"/>
      <c r="AC32" s="28"/>
      <c r="AD32" s="89" t="b">
        <v>0</v>
      </c>
      <c r="AE32" s="22"/>
      <c r="AF32" s="22"/>
      <c r="AG32" s="22"/>
      <c r="AH32" s="22"/>
    </row>
    <row r="33" ht="17.25" customHeight="1">
      <c r="A33" s="22"/>
      <c r="B33" s="22"/>
      <c r="C33" s="82"/>
      <c r="D33" s="43"/>
      <c r="E33" s="43"/>
      <c r="F33" s="43"/>
      <c r="G33" s="43"/>
      <c r="H33" s="28"/>
      <c r="I33" s="83" t="b">
        <v>0</v>
      </c>
      <c r="J33" s="84"/>
      <c r="K33" s="43"/>
      <c r="L33" s="43"/>
      <c r="M33" s="43"/>
      <c r="N33" s="43"/>
      <c r="O33" s="28"/>
      <c r="P33" s="85" t="b">
        <v>0</v>
      </c>
      <c r="Q33" s="86"/>
      <c r="R33" s="43"/>
      <c r="S33" s="43"/>
      <c r="T33" s="43"/>
      <c r="U33" s="43"/>
      <c r="V33" s="28"/>
      <c r="W33" s="87" t="b">
        <v>0</v>
      </c>
      <c r="X33" s="88"/>
      <c r="Y33" s="43"/>
      <c r="Z33" s="43"/>
      <c r="AA33" s="43"/>
      <c r="AB33" s="43"/>
      <c r="AC33" s="28"/>
      <c r="AD33" s="89" t="b">
        <v>0</v>
      </c>
      <c r="AE33" s="22"/>
      <c r="AF33" s="31"/>
      <c r="AG33" s="22"/>
      <c r="AH33" s="22"/>
    </row>
    <row r="34" ht="17.25" customHeight="1">
      <c r="A34" s="22"/>
      <c r="B34" s="2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1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22"/>
      <c r="AF34" s="22"/>
      <c r="AG34" s="22"/>
      <c r="AH34" s="22"/>
    </row>
    <row r="35" ht="17.25" customHeight="1">
      <c r="A35" s="22"/>
      <c r="B35" s="92" t="s">
        <v>19</v>
      </c>
      <c r="C35" s="27" t="s">
        <v>15</v>
      </c>
      <c r="D35" s="43"/>
      <c r="E35" s="43"/>
      <c r="F35" s="43"/>
      <c r="G35" s="43"/>
      <c r="H35" s="28"/>
      <c r="I35" s="52"/>
      <c r="J35" s="79" t="s">
        <v>16</v>
      </c>
      <c r="K35" s="43"/>
      <c r="L35" s="43"/>
      <c r="M35" s="43"/>
      <c r="N35" s="43"/>
      <c r="O35" s="28"/>
      <c r="P35" s="53"/>
      <c r="Q35" s="80" t="s">
        <v>17</v>
      </c>
      <c r="R35" s="43"/>
      <c r="S35" s="43"/>
      <c r="T35" s="43"/>
      <c r="U35" s="43"/>
      <c r="V35" s="28"/>
      <c r="W35" s="54"/>
      <c r="X35" s="81" t="s">
        <v>18</v>
      </c>
      <c r="Y35" s="43"/>
      <c r="Z35" s="43"/>
      <c r="AA35" s="43"/>
      <c r="AB35" s="43"/>
      <c r="AC35" s="28"/>
      <c r="AD35" s="55"/>
      <c r="AE35" s="22"/>
      <c r="AF35" s="93" t="s">
        <v>20</v>
      </c>
      <c r="AG35" s="93">
        <v>1.0</v>
      </c>
      <c r="AH35" s="31"/>
    </row>
    <row r="36" ht="17.25" customHeight="1">
      <c r="A36" s="22"/>
      <c r="B36" s="38"/>
      <c r="C36" s="82"/>
      <c r="D36" s="43"/>
      <c r="E36" s="43"/>
      <c r="F36" s="43"/>
      <c r="G36" s="43"/>
      <c r="H36" s="28"/>
      <c r="I36" s="83" t="b">
        <v>0</v>
      </c>
      <c r="J36" s="84"/>
      <c r="K36" s="43"/>
      <c r="L36" s="43"/>
      <c r="M36" s="43"/>
      <c r="N36" s="43"/>
      <c r="O36" s="28"/>
      <c r="P36" s="85" t="b">
        <v>0</v>
      </c>
      <c r="Q36" s="86"/>
      <c r="R36" s="43"/>
      <c r="S36" s="43"/>
      <c r="T36" s="43"/>
      <c r="U36" s="43"/>
      <c r="V36" s="28"/>
      <c r="W36" s="87" t="b">
        <v>0</v>
      </c>
      <c r="X36" s="88"/>
      <c r="Y36" s="43"/>
      <c r="Z36" s="43"/>
      <c r="AA36" s="43"/>
      <c r="AB36" s="43"/>
      <c r="AC36" s="28"/>
      <c r="AD36" s="89" t="b">
        <v>0</v>
      </c>
      <c r="AE36" s="22"/>
      <c r="AF36" s="93" t="s">
        <v>10</v>
      </c>
      <c r="AG36" s="93">
        <v>2.0</v>
      </c>
      <c r="AH36" s="31"/>
    </row>
    <row r="37" ht="17.25" customHeight="1">
      <c r="A37" s="22"/>
      <c r="B37" s="22"/>
      <c r="C37" s="82"/>
      <c r="D37" s="43"/>
      <c r="E37" s="43"/>
      <c r="F37" s="43"/>
      <c r="G37" s="43"/>
      <c r="H37" s="28"/>
      <c r="I37" s="83" t="b">
        <v>0</v>
      </c>
      <c r="J37" s="84"/>
      <c r="K37" s="43"/>
      <c r="L37" s="43"/>
      <c r="M37" s="43"/>
      <c r="N37" s="43"/>
      <c r="O37" s="28"/>
      <c r="P37" s="85" t="b">
        <v>0</v>
      </c>
      <c r="Q37" s="86"/>
      <c r="R37" s="43"/>
      <c r="S37" s="43"/>
      <c r="T37" s="43"/>
      <c r="U37" s="43"/>
      <c r="V37" s="28"/>
      <c r="W37" s="87" t="b">
        <v>0</v>
      </c>
      <c r="X37" s="88"/>
      <c r="Y37" s="43"/>
      <c r="Z37" s="43"/>
      <c r="AA37" s="43"/>
      <c r="AB37" s="43"/>
      <c r="AC37" s="28"/>
      <c r="AD37" s="89" t="b">
        <v>0</v>
      </c>
      <c r="AE37" s="22"/>
      <c r="AF37" s="93" t="s">
        <v>21</v>
      </c>
      <c r="AG37" s="93">
        <v>3.0</v>
      </c>
      <c r="AH37" s="31"/>
    </row>
    <row r="38" ht="17.25" customHeight="1">
      <c r="A38" s="22"/>
      <c r="B38" s="22"/>
      <c r="C38" s="82"/>
      <c r="D38" s="43"/>
      <c r="E38" s="43"/>
      <c r="F38" s="43"/>
      <c r="G38" s="43"/>
      <c r="H38" s="28"/>
      <c r="I38" s="83" t="b">
        <v>0</v>
      </c>
      <c r="J38" s="84"/>
      <c r="K38" s="43"/>
      <c r="L38" s="43"/>
      <c r="M38" s="43"/>
      <c r="N38" s="43"/>
      <c r="O38" s="28"/>
      <c r="P38" s="85" t="b">
        <v>0</v>
      </c>
      <c r="Q38" s="86"/>
      <c r="R38" s="43"/>
      <c r="S38" s="43"/>
      <c r="T38" s="43"/>
      <c r="U38" s="43"/>
      <c r="V38" s="28"/>
      <c r="W38" s="87" t="b">
        <v>0</v>
      </c>
      <c r="X38" s="88"/>
      <c r="Y38" s="43"/>
      <c r="Z38" s="43"/>
      <c r="AA38" s="43"/>
      <c r="AB38" s="43"/>
      <c r="AC38" s="28"/>
      <c r="AD38" s="89" t="b">
        <v>0</v>
      </c>
      <c r="AE38" s="22"/>
      <c r="AF38" s="93" t="s">
        <v>22</v>
      </c>
      <c r="AG38" s="93">
        <v>4.0</v>
      </c>
      <c r="AH38" s="31"/>
    </row>
    <row r="39" ht="17.25" customHeight="1">
      <c r="A39" s="22"/>
      <c r="B39" s="22"/>
      <c r="C39" s="82"/>
      <c r="D39" s="43"/>
      <c r="E39" s="43"/>
      <c r="F39" s="43"/>
      <c r="G39" s="43"/>
      <c r="H39" s="28"/>
      <c r="I39" s="83" t="b">
        <v>0</v>
      </c>
      <c r="J39" s="84"/>
      <c r="K39" s="43"/>
      <c r="L39" s="43"/>
      <c r="M39" s="43"/>
      <c r="N39" s="43"/>
      <c r="O39" s="28"/>
      <c r="P39" s="85" t="b">
        <v>0</v>
      </c>
      <c r="Q39" s="86"/>
      <c r="R39" s="43"/>
      <c r="S39" s="43"/>
      <c r="T39" s="43"/>
      <c r="U39" s="43"/>
      <c r="V39" s="28"/>
      <c r="W39" s="87" t="b">
        <v>0</v>
      </c>
      <c r="X39" s="88"/>
      <c r="Y39" s="43"/>
      <c r="Z39" s="43"/>
      <c r="AA39" s="43"/>
      <c r="AB39" s="43"/>
      <c r="AC39" s="28"/>
      <c r="AD39" s="89" t="b">
        <v>0</v>
      </c>
      <c r="AE39" s="22"/>
      <c r="AF39" s="93" t="s">
        <v>23</v>
      </c>
      <c r="AG39" s="93">
        <v>5.0</v>
      </c>
      <c r="AH39" s="31"/>
    </row>
    <row r="40" ht="17.25" customHeight="1">
      <c r="A40" s="22"/>
      <c r="B40" s="22"/>
      <c r="C40" s="82"/>
      <c r="D40" s="43"/>
      <c r="E40" s="43"/>
      <c r="F40" s="43"/>
      <c r="G40" s="43"/>
      <c r="H40" s="28"/>
      <c r="I40" s="83" t="b">
        <v>0</v>
      </c>
      <c r="J40" s="84"/>
      <c r="K40" s="43"/>
      <c r="L40" s="43"/>
      <c r="M40" s="43"/>
      <c r="N40" s="43"/>
      <c r="O40" s="28"/>
      <c r="P40" s="85" t="b">
        <v>0</v>
      </c>
      <c r="Q40" s="86"/>
      <c r="R40" s="43"/>
      <c r="S40" s="43"/>
      <c r="T40" s="43"/>
      <c r="U40" s="43"/>
      <c r="V40" s="28"/>
      <c r="W40" s="87" t="b">
        <v>0</v>
      </c>
      <c r="X40" s="88"/>
      <c r="Y40" s="43"/>
      <c r="Z40" s="43"/>
      <c r="AA40" s="43"/>
      <c r="AB40" s="43"/>
      <c r="AC40" s="28"/>
      <c r="AD40" s="89" t="b">
        <v>0</v>
      </c>
      <c r="AE40" s="22"/>
      <c r="AF40" s="93" t="s">
        <v>24</v>
      </c>
      <c r="AG40" s="93">
        <v>6.0</v>
      </c>
      <c r="AH40" s="31"/>
    </row>
    <row r="41" ht="17.25" customHeight="1">
      <c r="A41" s="22"/>
      <c r="B41" s="22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22"/>
      <c r="AF41" s="93" t="s">
        <v>25</v>
      </c>
      <c r="AG41" s="93">
        <v>7.0</v>
      </c>
      <c r="AH41" s="31"/>
    </row>
    <row r="42" ht="17.2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94"/>
      <c r="AD42" s="22"/>
      <c r="AE42" s="22"/>
      <c r="AF42" s="93" t="s">
        <v>26</v>
      </c>
      <c r="AG42" s="93">
        <v>8.0</v>
      </c>
      <c r="AH42" s="31"/>
    </row>
    <row r="43" ht="17.25" customHeight="1">
      <c r="A43" s="22"/>
      <c r="B43" s="32" t="s">
        <v>27</v>
      </c>
      <c r="C43" s="79" t="s">
        <v>28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28"/>
      <c r="Q43" s="95"/>
      <c r="R43" s="22"/>
      <c r="S43" s="22"/>
      <c r="T43" s="22"/>
      <c r="U43" s="22"/>
      <c r="V43" s="22"/>
      <c r="W43" s="22"/>
      <c r="X43" s="31"/>
      <c r="Y43" s="22"/>
      <c r="Z43" s="31"/>
      <c r="AA43" s="22"/>
      <c r="AB43" s="22"/>
      <c r="AC43" s="22"/>
      <c r="AD43" s="22"/>
      <c r="AE43" s="22"/>
      <c r="AF43" s="93" t="s">
        <v>29</v>
      </c>
      <c r="AG43" s="93">
        <v>9.0</v>
      </c>
      <c r="AH43" s="31"/>
    </row>
    <row r="44" ht="17.25" customHeight="1">
      <c r="A44" s="22"/>
      <c r="B44" s="37"/>
      <c r="C44" s="8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28"/>
      <c r="P44" s="83" t="b">
        <v>0</v>
      </c>
      <c r="Q44" s="95"/>
      <c r="R44" s="22"/>
      <c r="S44" s="22"/>
      <c r="T44" s="22"/>
      <c r="U44" s="22"/>
      <c r="V44" s="22"/>
      <c r="W44" s="22"/>
      <c r="X44" s="31"/>
      <c r="Y44" s="22"/>
      <c r="Z44" s="31"/>
      <c r="AA44" s="22"/>
      <c r="AB44" s="22"/>
      <c r="AC44" s="22"/>
      <c r="AD44" s="22"/>
      <c r="AE44" s="22"/>
      <c r="AF44" s="93" t="s">
        <v>30</v>
      </c>
      <c r="AG44" s="93">
        <v>10.0</v>
      </c>
      <c r="AH44" s="31"/>
    </row>
    <row r="45" ht="17.25" customHeight="1">
      <c r="A45" s="22"/>
      <c r="B45" s="96"/>
      <c r="C45" s="82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28"/>
      <c r="P45" s="83" t="b">
        <v>0</v>
      </c>
      <c r="Q45" s="95"/>
      <c r="R45" s="22"/>
      <c r="S45" s="22"/>
      <c r="T45" s="22"/>
      <c r="U45" s="22"/>
      <c r="V45" s="22"/>
      <c r="W45" s="22"/>
      <c r="X45" s="31"/>
      <c r="Y45" s="22"/>
      <c r="Z45" s="31"/>
      <c r="AA45" s="22"/>
      <c r="AB45" s="22"/>
      <c r="AC45" s="22"/>
      <c r="AD45" s="22"/>
      <c r="AE45" s="22"/>
      <c r="AF45" s="93" t="s">
        <v>31</v>
      </c>
      <c r="AG45" s="93">
        <v>11.0</v>
      </c>
      <c r="AH45" s="31"/>
    </row>
    <row r="46" ht="17.25" customHeight="1">
      <c r="A46" s="22"/>
      <c r="B46" s="96"/>
      <c r="C46" s="8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28"/>
      <c r="P46" s="83" t="b">
        <v>0</v>
      </c>
      <c r="Q46" s="95"/>
      <c r="R46" s="22"/>
      <c r="S46" s="22"/>
      <c r="T46" s="22"/>
      <c r="U46" s="22"/>
      <c r="V46" s="22"/>
      <c r="W46" s="22"/>
      <c r="X46" s="31"/>
      <c r="Y46" s="22"/>
      <c r="Z46" s="31"/>
      <c r="AA46" s="22"/>
      <c r="AB46" s="22"/>
      <c r="AC46" s="22"/>
      <c r="AD46" s="22"/>
      <c r="AE46" s="22"/>
      <c r="AF46" s="93" t="s">
        <v>32</v>
      </c>
      <c r="AG46" s="93">
        <v>12.0</v>
      </c>
      <c r="AH46" s="31"/>
    </row>
    <row r="47" ht="17.25" customHeight="1">
      <c r="A47" s="22"/>
      <c r="B47" s="96"/>
      <c r="C47" s="8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28"/>
      <c r="P47" s="83"/>
      <c r="Q47" s="95"/>
      <c r="R47" s="22"/>
      <c r="S47" s="22"/>
      <c r="T47" s="22"/>
      <c r="U47" s="22"/>
      <c r="V47" s="22"/>
      <c r="W47" s="22"/>
      <c r="X47" s="31"/>
      <c r="Y47" s="22"/>
      <c r="Z47" s="31"/>
      <c r="AA47" s="22"/>
      <c r="AB47" s="22"/>
      <c r="AC47" s="22"/>
      <c r="AD47" s="22"/>
      <c r="AE47" s="22"/>
      <c r="AF47" s="22"/>
      <c r="AG47" s="22"/>
      <c r="AH47" s="22"/>
    </row>
    <row r="48" ht="17.25" customHeight="1">
      <c r="A48" s="22"/>
      <c r="B48" s="96"/>
      <c r="C48" s="82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28"/>
      <c r="P48" s="83"/>
      <c r="Q48" s="95"/>
      <c r="R48" s="22"/>
      <c r="S48" s="22"/>
      <c r="T48" s="22"/>
      <c r="U48" s="22"/>
      <c r="V48" s="22"/>
      <c r="W48" s="22"/>
      <c r="X48" s="31"/>
      <c r="Y48" s="22"/>
      <c r="Z48" s="31"/>
      <c r="AA48" s="22"/>
      <c r="AB48" s="22"/>
      <c r="AC48" s="22"/>
      <c r="AD48" s="22"/>
      <c r="AE48" s="22"/>
      <c r="AF48" s="22"/>
      <c r="AG48" s="22"/>
      <c r="AH48" s="22"/>
    </row>
    <row r="49" ht="17.2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8"/>
      <c r="Y49" s="97"/>
      <c r="Z49" s="31"/>
      <c r="AA49" s="97"/>
      <c r="AB49" s="97"/>
      <c r="AC49" s="97"/>
      <c r="AD49" s="97"/>
      <c r="AE49" s="97"/>
      <c r="AF49" s="97"/>
      <c r="AG49" s="97"/>
      <c r="AH49" s="97"/>
    </row>
  </sheetData>
  <mergeCells count="64">
    <mergeCell ref="J37:O37"/>
    <mergeCell ref="J38:O38"/>
    <mergeCell ref="J29:O29"/>
    <mergeCell ref="J30:O30"/>
    <mergeCell ref="J31:O31"/>
    <mergeCell ref="J32:O32"/>
    <mergeCell ref="J33:O33"/>
    <mergeCell ref="J35:O35"/>
    <mergeCell ref="J36:O36"/>
    <mergeCell ref="C44:O44"/>
    <mergeCell ref="C45:O45"/>
    <mergeCell ref="C46:O46"/>
    <mergeCell ref="C47:O47"/>
    <mergeCell ref="C48:O48"/>
    <mergeCell ref="C37:H37"/>
    <mergeCell ref="C38:H38"/>
    <mergeCell ref="C39:H39"/>
    <mergeCell ref="J39:O39"/>
    <mergeCell ref="C40:H40"/>
    <mergeCell ref="J40:O40"/>
    <mergeCell ref="C43:P43"/>
    <mergeCell ref="C2:D2"/>
    <mergeCell ref="B4:B5"/>
    <mergeCell ref="C4:AE5"/>
    <mergeCell ref="AF4:AG5"/>
    <mergeCell ref="C6:AG6"/>
    <mergeCell ref="B8:B9"/>
    <mergeCell ref="C8:AG8"/>
    <mergeCell ref="B28:B29"/>
    <mergeCell ref="C28:H28"/>
    <mergeCell ref="J28:O28"/>
    <mergeCell ref="Q28:V28"/>
    <mergeCell ref="C29:H29"/>
    <mergeCell ref="Q29:V29"/>
    <mergeCell ref="Q30:V30"/>
    <mergeCell ref="X36:AC36"/>
    <mergeCell ref="X37:AC37"/>
    <mergeCell ref="X38:AC38"/>
    <mergeCell ref="X39:AC39"/>
    <mergeCell ref="X40:AC40"/>
    <mergeCell ref="X28:AC28"/>
    <mergeCell ref="X29:AC29"/>
    <mergeCell ref="X30:AC30"/>
    <mergeCell ref="X31:AC31"/>
    <mergeCell ref="X32:AC32"/>
    <mergeCell ref="X33:AC33"/>
    <mergeCell ref="X35:AC35"/>
    <mergeCell ref="C30:H30"/>
    <mergeCell ref="C31:H31"/>
    <mergeCell ref="C32:H32"/>
    <mergeCell ref="C33:H33"/>
    <mergeCell ref="B35:B36"/>
    <mergeCell ref="C35:H35"/>
    <mergeCell ref="C36:H36"/>
    <mergeCell ref="B43:B44"/>
    <mergeCell ref="Q39:V39"/>
    <mergeCell ref="Q40:V40"/>
    <mergeCell ref="Q31:V31"/>
    <mergeCell ref="Q32:V32"/>
    <mergeCell ref="Q33:V33"/>
    <mergeCell ref="Q35:V35"/>
    <mergeCell ref="Q36:V36"/>
    <mergeCell ref="Q37:V37"/>
    <mergeCell ref="Q38:V38"/>
  </mergeCells>
  <conditionalFormatting sqref="C24:AG24">
    <cfRule type="cellIs" dxfId="0" priority="1" operator="greaterThanOrEqual">
      <formula>"75%"</formula>
    </cfRule>
  </conditionalFormatting>
  <conditionalFormatting sqref="AF4:AG5">
    <cfRule type="cellIs" dxfId="0" priority="2" operator="greaterThanOrEqual">
      <formula>"80%"</formula>
    </cfRule>
  </conditionalFormatting>
  <dataValidations>
    <dataValidation type="list" allowBlank="1" showErrorMessage="1" sqref="B8">
      <formula1>"Январь,Февраль,Март,Апрель,Май,Июнь,Июль,Август,Сентябрь,Октябрь,Ноябрь,Декабрь"</formula1>
    </dataValidation>
    <dataValidation type="list" allowBlank="1" showErrorMessage="1" sqref="C2">
      <formula1>"2023,2024,2025,2026,2027"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6.0"/>
    <col customWidth="1" min="4" max="4" width="6.88"/>
    <col customWidth="1" min="5" max="31" width="6.0"/>
  </cols>
  <sheetData>
    <row r="1">
      <c r="A1" s="99"/>
      <c r="B1" s="99"/>
      <c r="C1" s="99"/>
      <c r="D1" s="99"/>
      <c r="E1" s="99"/>
      <c r="F1" s="99"/>
      <c r="G1" s="99"/>
      <c r="H1" s="99"/>
      <c r="I1" s="99"/>
      <c r="J1" s="99"/>
      <c r="K1" s="100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101"/>
      <c r="Y1" s="100"/>
      <c r="Z1" s="100"/>
      <c r="AA1" s="100"/>
      <c r="AB1" s="100"/>
      <c r="AC1" s="100"/>
      <c r="AD1" s="100"/>
      <c r="AE1" s="99"/>
    </row>
    <row r="2">
      <c r="A2" s="99"/>
      <c r="B2" s="102" t="s">
        <v>33</v>
      </c>
      <c r="C2" s="34"/>
      <c r="D2" s="34"/>
      <c r="E2" s="35"/>
      <c r="F2" s="99"/>
      <c r="G2" s="103" t="str">
        <f>iferror(C18/C9,)</f>
        <v/>
      </c>
      <c r="H2" s="104" t="str">
        <f>IFERROR(__xludf.DUMMYFUNCTION("iferror(SPARKLINE(G2,{""charttype"",""bar"";""max"",100%;""color1"",""#c9e4b2""}))"),"")</f>
        <v/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99"/>
      <c r="X2" s="99"/>
      <c r="Y2" s="101"/>
      <c r="Z2" s="101"/>
      <c r="AA2" s="101"/>
      <c r="AB2" s="101"/>
      <c r="AC2" s="101"/>
      <c r="AD2" s="101"/>
      <c r="AE2" s="99"/>
    </row>
    <row r="3">
      <c r="A3" s="99"/>
      <c r="B3" s="38"/>
      <c r="C3" s="39"/>
      <c r="D3" s="39"/>
      <c r="E3" s="40"/>
      <c r="F3" s="99"/>
      <c r="G3" s="37"/>
      <c r="H3" s="38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40"/>
      <c r="W3" s="99"/>
      <c r="X3" s="99"/>
      <c r="Y3" s="99"/>
      <c r="Z3" s="99"/>
      <c r="AA3" s="101"/>
      <c r="AB3" s="101"/>
      <c r="AC3" s="101"/>
      <c r="AD3" s="101"/>
      <c r="AE3" s="99"/>
    </row>
    <row r="4">
      <c r="A4" s="99"/>
      <c r="B4" s="105">
        <f>TODAY()</f>
        <v>46025</v>
      </c>
      <c r="C4" s="34"/>
      <c r="D4" s="34"/>
      <c r="E4" s="35"/>
      <c r="F4" s="99"/>
      <c r="G4" s="99"/>
      <c r="H4" s="106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</row>
    <row r="5">
      <c r="A5" s="99"/>
      <c r="B5" s="38"/>
      <c r="C5" s="39"/>
      <c r="D5" s="39"/>
      <c r="E5" s="40"/>
      <c r="F5" s="99"/>
      <c r="G5" s="107" t="s">
        <v>34</v>
      </c>
      <c r="H5" s="107" t="s">
        <v>35</v>
      </c>
      <c r="I5" s="102" t="s">
        <v>36</v>
      </c>
      <c r="J5" s="34"/>
      <c r="K5" s="34"/>
      <c r="L5" s="34"/>
      <c r="M5" s="34"/>
      <c r="N5" s="34"/>
      <c r="O5" s="34"/>
      <c r="P5" s="35"/>
      <c r="Q5" s="102" t="s">
        <v>37</v>
      </c>
      <c r="R5" s="35"/>
      <c r="S5" s="102" t="s">
        <v>38</v>
      </c>
      <c r="T5" s="35"/>
      <c r="U5" s="102" t="s">
        <v>39</v>
      </c>
      <c r="V5" s="35"/>
      <c r="W5" s="99"/>
      <c r="X5" s="102" t="s">
        <v>9</v>
      </c>
      <c r="Y5" s="34"/>
      <c r="Z5" s="34"/>
      <c r="AA5" s="34"/>
      <c r="AB5" s="34"/>
      <c r="AC5" s="34"/>
      <c r="AD5" s="35"/>
      <c r="AE5" s="99"/>
    </row>
    <row r="6">
      <c r="A6" s="99"/>
      <c r="B6" s="99"/>
      <c r="C6" s="99"/>
      <c r="D6" s="99"/>
      <c r="E6" s="99"/>
      <c r="F6" s="99"/>
      <c r="G6" s="37"/>
      <c r="H6" s="37"/>
      <c r="I6" s="38"/>
      <c r="J6" s="39"/>
      <c r="K6" s="39"/>
      <c r="L6" s="39"/>
      <c r="M6" s="39"/>
      <c r="N6" s="39"/>
      <c r="O6" s="39"/>
      <c r="P6" s="40"/>
      <c r="Q6" s="38"/>
      <c r="R6" s="40"/>
      <c r="S6" s="38"/>
      <c r="T6" s="40"/>
      <c r="U6" s="38"/>
      <c r="V6" s="40"/>
      <c r="W6" s="99"/>
      <c r="X6" s="38"/>
      <c r="Y6" s="39"/>
      <c r="Z6" s="39"/>
      <c r="AA6" s="39"/>
      <c r="AB6" s="39"/>
      <c r="AC6" s="39"/>
      <c r="AD6" s="40"/>
      <c r="AE6" s="99"/>
    </row>
    <row r="7">
      <c r="A7" s="99"/>
      <c r="B7" s="108"/>
      <c r="C7" s="109"/>
      <c r="D7" s="109"/>
      <c r="E7" s="110"/>
      <c r="F7" s="99"/>
      <c r="G7" s="111">
        <v>1.0</v>
      </c>
      <c r="H7" s="112" t="b">
        <v>0</v>
      </c>
      <c r="I7" s="113"/>
      <c r="J7" s="114"/>
      <c r="K7" s="114"/>
      <c r="L7" s="114"/>
      <c r="M7" s="114"/>
      <c r="N7" s="114"/>
      <c r="O7" s="114"/>
      <c r="P7" s="115"/>
      <c r="Q7" s="116"/>
      <c r="R7" s="115"/>
      <c r="S7" s="117"/>
      <c r="T7" s="115"/>
      <c r="U7" s="118" t="str">
        <f t="shared" ref="U7:U56" si="1">if(isblank(Q7),,Q7-today())</f>
        <v/>
      </c>
      <c r="V7" s="115"/>
      <c r="W7" s="99"/>
      <c r="X7" s="119"/>
      <c r="Y7" s="120"/>
      <c r="Z7" s="120"/>
      <c r="AA7" s="120"/>
      <c r="AB7" s="120"/>
      <c r="AC7" s="120"/>
      <c r="AD7" s="120"/>
      <c r="AE7" s="99"/>
    </row>
    <row r="8">
      <c r="A8" s="99"/>
      <c r="B8" s="121"/>
      <c r="C8" s="122" t="s">
        <v>40</v>
      </c>
      <c r="E8" s="123"/>
      <c r="F8" s="99"/>
      <c r="G8" s="124">
        <v>2.0</v>
      </c>
      <c r="H8" s="125" t="b">
        <v>0</v>
      </c>
      <c r="I8" s="126"/>
      <c r="J8" s="127"/>
      <c r="K8" s="127"/>
      <c r="L8" s="127"/>
      <c r="M8" s="127"/>
      <c r="N8" s="127"/>
      <c r="O8" s="127"/>
      <c r="P8" s="128"/>
      <c r="Q8" s="129"/>
      <c r="R8" s="128"/>
      <c r="S8" s="130"/>
      <c r="T8" s="128"/>
      <c r="U8" s="131" t="str">
        <f t="shared" si="1"/>
        <v/>
      </c>
      <c r="V8" s="128"/>
      <c r="W8" s="99"/>
      <c r="X8" s="132"/>
      <c r="Y8" s="127"/>
      <c r="Z8" s="127"/>
      <c r="AA8" s="127"/>
      <c r="AB8" s="127"/>
      <c r="AC8" s="127"/>
      <c r="AD8" s="127"/>
      <c r="AE8" s="99"/>
    </row>
    <row r="9">
      <c r="A9" s="99"/>
      <c r="B9" s="121"/>
      <c r="C9" s="133">
        <f>countA(I7:P57)</f>
        <v>0</v>
      </c>
      <c r="D9" s="28"/>
      <c r="E9" s="123"/>
      <c r="F9" s="99"/>
      <c r="G9" s="124">
        <v>3.0</v>
      </c>
      <c r="H9" s="125" t="b">
        <v>0</v>
      </c>
      <c r="I9" s="126"/>
      <c r="J9" s="127"/>
      <c r="K9" s="127"/>
      <c r="L9" s="127"/>
      <c r="M9" s="127"/>
      <c r="N9" s="127"/>
      <c r="O9" s="127"/>
      <c r="P9" s="128"/>
      <c r="Q9" s="129"/>
      <c r="R9" s="128"/>
      <c r="S9" s="130"/>
      <c r="T9" s="128"/>
      <c r="U9" s="131" t="str">
        <f t="shared" si="1"/>
        <v/>
      </c>
      <c r="V9" s="128"/>
      <c r="W9" s="99"/>
      <c r="X9" s="132"/>
      <c r="Y9" s="127"/>
      <c r="Z9" s="127"/>
      <c r="AA9" s="127"/>
      <c r="AB9" s="127"/>
      <c r="AC9" s="127"/>
      <c r="AD9" s="127"/>
      <c r="AE9" s="99"/>
    </row>
    <row r="10">
      <c r="A10" s="99"/>
      <c r="B10" s="121"/>
      <c r="C10" s="134"/>
      <c r="D10" s="134"/>
      <c r="E10" s="123"/>
      <c r="F10" s="99"/>
      <c r="G10" s="124">
        <v>4.0</v>
      </c>
      <c r="H10" s="125" t="b">
        <v>0</v>
      </c>
      <c r="I10" s="126"/>
      <c r="J10" s="127"/>
      <c r="K10" s="127"/>
      <c r="L10" s="127"/>
      <c r="M10" s="127"/>
      <c r="N10" s="127"/>
      <c r="O10" s="127"/>
      <c r="P10" s="128"/>
      <c r="Q10" s="129"/>
      <c r="R10" s="128"/>
      <c r="S10" s="130"/>
      <c r="T10" s="128"/>
      <c r="U10" s="131" t="str">
        <f t="shared" si="1"/>
        <v/>
      </c>
      <c r="V10" s="128"/>
      <c r="W10" s="99"/>
      <c r="X10" s="132"/>
      <c r="Y10" s="127"/>
      <c r="Z10" s="127"/>
      <c r="AA10" s="127"/>
      <c r="AB10" s="127"/>
      <c r="AC10" s="127"/>
      <c r="AD10" s="127"/>
      <c r="AE10" s="99"/>
    </row>
    <row r="11">
      <c r="A11" s="99"/>
      <c r="B11" s="121"/>
      <c r="C11" s="122" t="s">
        <v>41</v>
      </c>
      <c r="E11" s="123"/>
      <c r="F11" s="99"/>
      <c r="G11" s="124">
        <v>5.0</v>
      </c>
      <c r="H11" s="125" t="b">
        <v>0</v>
      </c>
      <c r="I11" s="126"/>
      <c r="J11" s="127"/>
      <c r="K11" s="127"/>
      <c r="L11" s="127"/>
      <c r="M11" s="127"/>
      <c r="N11" s="127"/>
      <c r="O11" s="127"/>
      <c r="P11" s="128"/>
      <c r="Q11" s="129"/>
      <c r="R11" s="128"/>
      <c r="S11" s="130"/>
      <c r="T11" s="128"/>
      <c r="U11" s="131" t="str">
        <f t="shared" si="1"/>
        <v/>
      </c>
      <c r="V11" s="128"/>
      <c r="W11" s="99"/>
      <c r="X11" s="132"/>
      <c r="Y11" s="127"/>
      <c r="Z11" s="127"/>
      <c r="AA11" s="127"/>
      <c r="AB11" s="127"/>
      <c r="AC11" s="127"/>
      <c r="AD11" s="127"/>
      <c r="AE11" s="99"/>
    </row>
    <row r="12">
      <c r="A12" s="99"/>
      <c r="B12" s="121"/>
      <c r="C12" s="135">
        <f>countifs(Q7:Q57,"&lt;"&amp;today(),H7:H57,false,I7:I57,"&lt;&gt;")</f>
        <v>0</v>
      </c>
      <c r="D12" s="28"/>
      <c r="E12" s="123"/>
      <c r="F12" s="99"/>
      <c r="G12" s="124">
        <v>6.0</v>
      </c>
      <c r="H12" s="125" t="b">
        <v>0</v>
      </c>
      <c r="I12" s="126"/>
      <c r="J12" s="127"/>
      <c r="K12" s="127"/>
      <c r="L12" s="127"/>
      <c r="M12" s="127"/>
      <c r="N12" s="127"/>
      <c r="O12" s="127"/>
      <c r="P12" s="128"/>
      <c r="Q12" s="129"/>
      <c r="R12" s="128"/>
      <c r="S12" s="130"/>
      <c r="T12" s="128"/>
      <c r="U12" s="131" t="str">
        <f t="shared" si="1"/>
        <v/>
      </c>
      <c r="V12" s="128"/>
      <c r="W12" s="99"/>
      <c r="X12" s="132"/>
      <c r="Y12" s="127"/>
      <c r="Z12" s="127"/>
      <c r="AA12" s="127"/>
      <c r="AB12" s="127"/>
      <c r="AC12" s="127"/>
      <c r="AD12" s="127"/>
      <c r="AE12" s="99"/>
    </row>
    <row r="13">
      <c r="A13" s="99"/>
      <c r="B13" s="121"/>
      <c r="C13" s="134"/>
      <c r="D13" s="134"/>
      <c r="E13" s="123"/>
      <c r="F13" s="99"/>
      <c r="G13" s="124">
        <v>7.0</v>
      </c>
      <c r="H13" s="125" t="b">
        <v>0</v>
      </c>
      <c r="I13" s="126"/>
      <c r="J13" s="127"/>
      <c r="K13" s="127"/>
      <c r="L13" s="127"/>
      <c r="M13" s="127"/>
      <c r="N13" s="127"/>
      <c r="O13" s="127"/>
      <c r="P13" s="128"/>
      <c r="Q13" s="129"/>
      <c r="R13" s="128"/>
      <c r="S13" s="130"/>
      <c r="T13" s="128"/>
      <c r="U13" s="131" t="str">
        <f t="shared" si="1"/>
        <v/>
      </c>
      <c r="V13" s="128"/>
      <c r="W13" s="99"/>
      <c r="X13" s="132"/>
      <c r="Y13" s="127"/>
      <c r="Z13" s="127"/>
      <c r="AA13" s="127"/>
      <c r="AB13" s="127"/>
      <c r="AC13" s="127"/>
      <c r="AD13" s="127"/>
      <c r="AE13" s="99"/>
    </row>
    <row r="14">
      <c r="A14" s="99"/>
      <c r="B14" s="121"/>
      <c r="C14" s="122" t="s">
        <v>42</v>
      </c>
      <c r="E14" s="123"/>
      <c r="F14" s="99"/>
      <c r="G14" s="124">
        <v>8.0</v>
      </c>
      <c r="H14" s="125" t="b">
        <v>0</v>
      </c>
      <c r="I14" s="126"/>
      <c r="J14" s="127"/>
      <c r="K14" s="127"/>
      <c r="L14" s="127"/>
      <c r="M14" s="127"/>
      <c r="N14" s="127"/>
      <c r="O14" s="127"/>
      <c r="P14" s="128"/>
      <c r="Q14" s="129"/>
      <c r="R14" s="128"/>
      <c r="S14" s="130"/>
      <c r="T14" s="128"/>
      <c r="U14" s="131" t="str">
        <f t="shared" si="1"/>
        <v/>
      </c>
      <c r="V14" s="128"/>
      <c r="W14" s="99"/>
      <c r="X14" s="136"/>
      <c r="Y14" s="127"/>
      <c r="Z14" s="127"/>
      <c r="AA14" s="127"/>
      <c r="AB14" s="127"/>
      <c r="AC14" s="127"/>
      <c r="AD14" s="127"/>
      <c r="AE14" s="99"/>
    </row>
    <row r="15">
      <c r="A15" s="99"/>
      <c r="B15" s="121"/>
      <c r="C15" s="133">
        <f>C9-C18</f>
        <v>0</v>
      </c>
      <c r="D15" s="28"/>
      <c r="E15" s="123"/>
      <c r="F15" s="99"/>
      <c r="G15" s="124">
        <v>9.0</v>
      </c>
      <c r="H15" s="125" t="b">
        <v>0</v>
      </c>
      <c r="I15" s="126"/>
      <c r="J15" s="127"/>
      <c r="K15" s="127"/>
      <c r="L15" s="127"/>
      <c r="M15" s="127"/>
      <c r="N15" s="127"/>
      <c r="O15" s="127"/>
      <c r="P15" s="128"/>
      <c r="Q15" s="129"/>
      <c r="R15" s="128"/>
      <c r="S15" s="130"/>
      <c r="T15" s="128"/>
      <c r="U15" s="131" t="str">
        <f t="shared" si="1"/>
        <v/>
      </c>
      <c r="V15" s="128"/>
      <c r="W15" s="99"/>
      <c r="X15" s="132"/>
      <c r="Y15" s="127"/>
      <c r="Z15" s="127"/>
      <c r="AA15" s="127"/>
      <c r="AB15" s="127"/>
      <c r="AC15" s="127"/>
      <c r="AD15" s="127"/>
      <c r="AE15" s="99"/>
    </row>
    <row r="16">
      <c r="A16" s="99"/>
      <c r="B16" s="121"/>
      <c r="C16" s="134"/>
      <c r="D16" s="134"/>
      <c r="E16" s="123"/>
      <c r="F16" s="99"/>
      <c r="G16" s="124">
        <v>10.0</v>
      </c>
      <c r="H16" s="125" t="b">
        <v>0</v>
      </c>
      <c r="I16" s="126"/>
      <c r="J16" s="127"/>
      <c r="K16" s="127"/>
      <c r="L16" s="127"/>
      <c r="M16" s="127"/>
      <c r="N16" s="127"/>
      <c r="O16" s="127"/>
      <c r="P16" s="128"/>
      <c r="Q16" s="129"/>
      <c r="R16" s="128"/>
      <c r="S16" s="130"/>
      <c r="T16" s="128"/>
      <c r="U16" s="131" t="str">
        <f t="shared" si="1"/>
        <v/>
      </c>
      <c r="V16" s="128"/>
      <c r="W16" s="99"/>
      <c r="X16" s="132"/>
      <c r="Y16" s="127"/>
      <c r="Z16" s="127"/>
      <c r="AA16" s="127"/>
      <c r="AB16" s="127"/>
      <c r="AC16" s="127"/>
      <c r="AD16" s="127"/>
      <c r="AE16" s="99"/>
    </row>
    <row r="17">
      <c r="A17" s="99"/>
      <c r="B17" s="121"/>
      <c r="C17" s="122" t="s">
        <v>43</v>
      </c>
      <c r="E17" s="123"/>
      <c r="F17" s="99"/>
      <c r="G17" s="124">
        <v>11.0</v>
      </c>
      <c r="H17" s="125" t="b">
        <v>0</v>
      </c>
      <c r="I17" s="137"/>
      <c r="J17" s="127"/>
      <c r="K17" s="127"/>
      <c r="L17" s="127"/>
      <c r="M17" s="127"/>
      <c r="N17" s="127"/>
      <c r="O17" s="127"/>
      <c r="P17" s="128"/>
      <c r="Q17" s="138"/>
      <c r="R17" s="128"/>
      <c r="S17" s="139"/>
      <c r="T17" s="128"/>
      <c r="U17" s="131" t="str">
        <f t="shared" si="1"/>
        <v/>
      </c>
      <c r="V17" s="128"/>
      <c r="W17" s="99"/>
      <c r="X17" s="136"/>
      <c r="Y17" s="127"/>
      <c r="Z17" s="127"/>
      <c r="AA17" s="127"/>
      <c r="AB17" s="127"/>
      <c r="AC17" s="127"/>
      <c r="AD17" s="127"/>
      <c r="AE17" s="99"/>
    </row>
    <row r="18">
      <c r="A18" s="99"/>
      <c r="B18" s="121"/>
      <c r="C18" s="133">
        <f>countifs(H7:H57,true,I7:I57,"&lt;&gt;")</f>
        <v>0</v>
      </c>
      <c r="D18" s="28"/>
      <c r="E18" s="123"/>
      <c r="F18" s="99"/>
      <c r="G18" s="124">
        <v>12.0</v>
      </c>
      <c r="H18" s="125" t="b">
        <v>0</v>
      </c>
      <c r="I18" s="137"/>
      <c r="J18" s="127"/>
      <c r="K18" s="127"/>
      <c r="L18" s="127"/>
      <c r="M18" s="127"/>
      <c r="N18" s="127"/>
      <c r="O18" s="127"/>
      <c r="P18" s="128"/>
      <c r="Q18" s="138"/>
      <c r="R18" s="128"/>
      <c r="S18" s="139"/>
      <c r="T18" s="128"/>
      <c r="U18" s="131" t="str">
        <f t="shared" si="1"/>
        <v/>
      </c>
      <c r="V18" s="128"/>
      <c r="W18" s="99"/>
      <c r="X18" s="136"/>
      <c r="Y18" s="127"/>
      <c r="Z18" s="127"/>
      <c r="AA18" s="127"/>
      <c r="AB18" s="127"/>
      <c r="AC18" s="127"/>
      <c r="AD18" s="127"/>
      <c r="AE18" s="99"/>
    </row>
    <row r="19">
      <c r="A19" s="99"/>
      <c r="B19" s="140"/>
      <c r="C19" s="141"/>
      <c r="D19" s="141"/>
      <c r="E19" s="142"/>
      <c r="F19" s="99"/>
      <c r="G19" s="124">
        <v>13.0</v>
      </c>
      <c r="H19" s="125" t="b">
        <v>0</v>
      </c>
      <c r="I19" s="137"/>
      <c r="J19" s="127"/>
      <c r="K19" s="127"/>
      <c r="L19" s="127"/>
      <c r="M19" s="127"/>
      <c r="N19" s="127"/>
      <c r="O19" s="127"/>
      <c r="P19" s="128"/>
      <c r="Q19" s="138"/>
      <c r="R19" s="128"/>
      <c r="S19" s="139"/>
      <c r="T19" s="128"/>
      <c r="U19" s="131" t="str">
        <f t="shared" si="1"/>
        <v/>
      </c>
      <c r="V19" s="128"/>
      <c r="W19" s="99"/>
      <c r="X19" s="136"/>
      <c r="Y19" s="127"/>
      <c r="Z19" s="127"/>
      <c r="AA19" s="127"/>
      <c r="AB19" s="127"/>
      <c r="AC19" s="127"/>
      <c r="AD19" s="127"/>
      <c r="AE19" s="99"/>
    </row>
    <row r="20">
      <c r="A20" s="99"/>
      <c r="B20" s="99"/>
      <c r="C20" s="99"/>
      <c r="D20" s="99"/>
      <c r="E20" s="99"/>
      <c r="F20" s="99"/>
      <c r="G20" s="124">
        <v>14.0</v>
      </c>
      <c r="H20" s="125" t="b">
        <v>0</v>
      </c>
      <c r="I20" s="137"/>
      <c r="J20" s="127"/>
      <c r="K20" s="127"/>
      <c r="L20" s="127"/>
      <c r="M20" s="127"/>
      <c r="N20" s="127"/>
      <c r="O20" s="127"/>
      <c r="P20" s="128"/>
      <c r="Q20" s="138"/>
      <c r="R20" s="128"/>
      <c r="S20" s="139"/>
      <c r="T20" s="128"/>
      <c r="U20" s="131" t="str">
        <f t="shared" si="1"/>
        <v/>
      </c>
      <c r="V20" s="128"/>
      <c r="W20" s="99"/>
      <c r="X20" s="136"/>
      <c r="Y20" s="127"/>
      <c r="Z20" s="127"/>
      <c r="AA20" s="127"/>
      <c r="AB20" s="127"/>
      <c r="AC20" s="127"/>
      <c r="AD20" s="127"/>
      <c r="AE20" s="99"/>
    </row>
    <row r="21">
      <c r="A21" s="99"/>
      <c r="B21" s="143" t="s">
        <v>44</v>
      </c>
      <c r="C21" s="34"/>
      <c r="D21" s="34"/>
      <c r="E21" s="35"/>
      <c r="F21" s="99"/>
      <c r="G21" s="124">
        <v>15.0</v>
      </c>
      <c r="H21" s="125" t="b">
        <v>0</v>
      </c>
      <c r="I21" s="137"/>
      <c r="J21" s="127"/>
      <c r="K21" s="127"/>
      <c r="L21" s="127"/>
      <c r="M21" s="127"/>
      <c r="N21" s="127"/>
      <c r="O21" s="127"/>
      <c r="P21" s="128"/>
      <c r="Q21" s="138"/>
      <c r="R21" s="128"/>
      <c r="S21" s="139"/>
      <c r="T21" s="128"/>
      <c r="U21" s="131" t="str">
        <f t="shared" si="1"/>
        <v/>
      </c>
      <c r="V21" s="128"/>
      <c r="W21" s="99"/>
      <c r="X21" s="136"/>
      <c r="Y21" s="127"/>
      <c r="Z21" s="127"/>
      <c r="AA21" s="127"/>
      <c r="AB21" s="127"/>
      <c r="AC21" s="127"/>
      <c r="AD21" s="127"/>
      <c r="AE21" s="99"/>
    </row>
    <row r="22">
      <c r="A22" s="99"/>
      <c r="B22" s="108"/>
      <c r="C22" s="109"/>
      <c r="D22" s="109"/>
      <c r="E22" s="110"/>
      <c r="F22" s="99"/>
      <c r="G22" s="124">
        <v>16.0</v>
      </c>
      <c r="H22" s="125" t="b">
        <v>0</v>
      </c>
      <c r="I22" s="137"/>
      <c r="J22" s="127"/>
      <c r="K22" s="127"/>
      <c r="L22" s="127"/>
      <c r="M22" s="127"/>
      <c r="N22" s="127"/>
      <c r="O22" s="127"/>
      <c r="P22" s="128"/>
      <c r="Q22" s="138"/>
      <c r="R22" s="128"/>
      <c r="S22" s="139"/>
      <c r="T22" s="128"/>
      <c r="U22" s="131" t="str">
        <f t="shared" si="1"/>
        <v/>
      </c>
      <c r="V22" s="128"/>
      <c r="W22" s="99"/>
      <c r="X22" s="136"/>
      <c r="Y22" s="127"/>
      <c r="Z22" s="127"/>
      <c r="AA22" s="127"/>
      <c r="AB22" s="127"/>
      <c r="AC22" s="127"/>
      <c r="AD22" s="127"/>
      <c r="AE22" s="99"/>
    </row>
    <row r="23">
      <c r="A23" s="99"/>
      <c r="B23" s="121"/>
      <c r="C23" s="122" t="s">
        <v>45</v>
      </c>
      <c r="E23" s="123"/>
      <c r="F23" s="99"/>
      <c r="G23" s="124">
        <v>17.0</v>
      </c>
      <c r="H23" s="125" t="b">
        <v>0</v>
      </c>
      <c r="I23" s="137"/>
      <c r="J23" s="127"/>
      <c r="K23" s="127"/>
      <c r="L23" s="127"/>
      <c r="M23" s="127"/>
      <c r="N23" s="127"/>
      <c r="O23" s="127"/>
      <c r="P23" s="128"/>
      <c r="Q23" s="138"/>
      <c r="R23" s="128"/>
      <c r="S23" s="139"/>
      <c r="T23" s="128"/>
      <c r="U23" s="131" t="str">
        <f t="shared" si="1"/>
        <v/>
      </c>
      <c r="V23" s="128"/>
      <c r="W23" s="99"/>
      <c r="X23" s="136"/>
      <c r="Y23" s="127"/>
      <c r="Z23" s="127"/>
      <c r="AA23" s="127"/>
      <c r="AB23" s="127"/>
      <c r="AC23" s="127"/>
      <c r="AD23" s="127"/>
      <c r="AE23" s="99"/>
    </row>
    <row r="24">
      <c r="A24" s="99"/>
      <c r="B24" s="121"/>
      <c r="C24" s="144"/>
      <c r="D24" s="28"/>
      <c r="E24" s="123"/>
      <c r="F24" s="99"/>
      <c r="G24" s="124">
        <v>18.0</v>
      </c>
      <c r="H24" s="125" t="b">
        <v>0</v>
      </c>
      <c r="I24" s="137"/>
      <c r="J24" s="127"/>
      <c r="K24" s="127"/>
      <c r="L24" s="127"/>
      <c r="M24" s="127"/>
      <c r="N24" s="127"/>
      <c r="O24" s="127"/>
      <c r="P24" s="128"/>
      <c r="Q24" s="138"/>
      <c r="R24" s="128"/>
      <c r="S24" s="139"/>
      <c r="T24" s="128"/>
      <c r="U24" s="131" t="str">
        <f t="shared" si="1"/>
        <v/>
      </c>
      <c r="V24" s="128"/>
      <c r="W24" s="99"/>
      <c r="X24" s="136"/>
      <c r="Y24" s="127"/>
      <c r="Z24" s="127"/>
      <c r="AA24" s="127"/>
      <c r="AB24" s="127"/>
      <c r="AC24" s="127"/>
      <c r="AD24" s="127"/>
      <c r="AE24" s="99"/>
    </row>
    <row r="25">
      <c r="A25" s="99"/>
      <c r="B25" s="121"/>
      <c r="C25" s="134"/>
      <c r="D25" s="134"/>
      <c r="E25" s="123"/>
      <c r="F25" s="99"/>
      <c r="G25" s="124">
        <v>19.0</v>
      </c>
      <c r="H25" s="125" t="b">
        <v>0</v>
      </c>
      <c r="I25" s="137"/>
      <c r="J25" s="127"/>
      <c r="K25" s="127"/>
      <c r="L25" s="127"/>
      <c r="M25" s="127"/>
      <c r="N25" s="127"/>
      <c r="O25" s="127"/>
      <c r="P25" s="128"/>
      <c r="Q25" s="138"/>
      <c r="R25" s="128"/>
      <c r="S25" s="139"/>
      <c r="T25" s="128"/>
      <c r="U25" s="131" t="str">
        <f t="shared" si="1"/>
        <v/>
      </c>
      <c r="V25" s="128"/>
      <c r="W25" s="99"/>
      <c r="X25" s="136"/>
      <c r="Y25" s="127"/>
      <c r="Z25" s="127"/>
      <c r="AA25" s="127"/>
      <c r="AB25" s="127"/>
      <c r="AC25" s="127"/>
      <c r="AD25" s="127"/>
      <c r="AE25" s="99"/>
    </row>
    <row r="26">
      <c r="A26" s="99"/>
      <c r="B26" s="121"/>
      <c r="C26" s="122" t="s">
        <v>46</v>
      </c>
      <c r="E26" s="123"/>
      <c r="F26" s="99"/>
      <c r="G26" s="124">
        <v>20.0</v>
      </c>
      <c r="H26" s="125" t="b">
        <v>0</v>
      </c>
      <c r="I26" s="137"/>
      <c r="J26" s="127"/>
      <c r="K26" s="127"/>
      <c r="L26" s="127"/>
      <c r="M26" s="127"/>
      <c r="N26" s="127"/>
      <c r="O26" s="127"/>
      <c r="P26" s="128"/>
      <c r="Q26" s="138"/>
      <c r="R26" s="128"/>
      <c r="S26" s="139"/>
      <c r="T26" s="128"/>
      <c r="U26" s="131" t="str">
        <f t="shared" si="1"/>
        <v/>
      </c>
      <c r="V26" s="128"/>
      <c r="W26" s="99"/>
      <c r="X26" s="136"/>
      <c r="Y26" s="127"/>
      <c r="Z26" s="127"/>
      <c r="AA26" s="127"/>
      <c r="AB26" s="127"/>
      <c r="AC26" s="127"/>
      <c r="AD26" s="127"/>
      <c r="AE26" s="99"/>
    </row>
    <row r="27">
      <c r="A27" s="99"/>
      <c r="B27" s="121"/>
      <c r="C27" s="144"/>
      <c r="D27" s="28"/>
      <c r="E27" s="123"/>
      <c r="F27" s="99"/>
      <c r="G27" s="124">
        <v>21.0</v>
      </c>
      <c r="H27" s="125" t="b">
        <v>0</v>
      </c>
      <c r="I27" s="137"/>
      <c r="J27" s="127"/>
      <c r="K27" s="127"/>
      <c r="L27" s="127"/>
      <c r="M27" s="127"/>
      <c r="N27" s="127"/>
      <c r="O27" s="127"/>
      <c r="P27" s="128"/>
      <c r="Q27" s="138"/>
      <c r="R27" s="128"/>
      <c r="S27" s="139"/>
      <c r="T27" s="128"/>
      <c r="U27" s="131" t="str">
        <f t="shared" si="1"/>
        <v/>
      </c>
      <c r="V27" s="128"/>
      <c r="W27" s="99"/>
      <c r="X27" s="136"/>
      <c r="Y27" s="127"/>
      <c r="Z27" s="127"/>
      <c r="AA27" s="127"/>
      <c r="AB27" s="127"/>
      <c r="AC27" s="127"/>
      <c r="AD27" s="127"/>
      <c r="AE27" s="99"/>
    </row>
    <row r="28">
      <c r="A28" s="99"/>
      <c r="B28" s="121"/>
      <c r="C28" s="134"/>
      <c r="D28" s="134"/>
      <c r="E28" s="123"/>
      <c r="F28" s="99"/>
      <c r="G28" s="124">
        <v>22.0</v>
      </c>
      <c r="H28" s="125" t="b">
        <v>0</v>
      </c>
      <c r="I28" s="137"/>
      <c r="J28" s="127"/>
      <c r="K28" s="127"/>
      <c r="L28" s="127"/>
      <c r="M28" s="127"/>
      <c r="N28" s="127"/>
      <c r="O28" s="127"/>
      <c r="P28" s="128"/>
      <c r="Q28" s="138"/>
      <c r="R28" s="128"/>
      <c r="S28" s="139"/>
      <c r="T28" s="128"/>
      <c r="U28" s="131" t="str">
        <f t="shared" si="1"/>
        <v/>
      </c>
      <c r="V28" s="128"/>
      <c r="W28" s="99"/>
      <c r="X28" s="136"/>
      <c r="Y28" s="127"/>
      <c r="Z28" s="127"/>
      <c r="AA28" s="127"/>
      <c r="AB28" s="127"/>
      <c r="AC28" s="127"/>
      <c r="AD28" s="127"/>
      <c r="AE28" s="99"/>
    </row>
    <row r="29">
      <c r="A29" s="99"/>
      <c r="B29" s="121"/>
      <c r="C29" s="122" t="s">
        <v>47</v>
      </c>
      <c r="E29" s="123"/>
      <c r="F29" s="99"/>
      <c r="G29" s="124">
        <v>23.0</v>
      </c>
      <c r="H29" s="125" t="b">
        <v>0</v>
      </c>
      <c r="I29" s="137"/>
      <c r="J29" s="127"/>
      <c r="K29" s="127"/>
      <c r="L29" s="127"/>
      <c r="M29" s="127"/>
      <c r="N29" s="127"/>
      <c r="O29" s="127"/>
      <c r="P29" s="128"/>
      <c r="Q29" s="138"/>
      <c r="R29" s="128"/>
      <c r="S29" s="139"/>
      <c r="T29" s="128"/>
      <c r="U29" s="131" t="str">
        <f t="shared" si="1"/>
        <v/>
      </c>
      <c r="V29" s="128"/>
      <c r="W29" s="99"/>
      <c r="X29" s="136"/>
      <c r="Y29" s="127"/>
      <c r="Z29" s="127"/>
      <c r="AA29" s="127"/>
      <c r="AB29" s="127"/>
      <c r="AC29" s="127"/>
      <c r="AD29" s="127"/>
      <c r="AE29" s="99"/>
    </row>
    <row r="30">
      <c r="A30" s="99"/>
      <c r="B30" s="121"/>
      <c r="C30" s="144"/>
      <c r="D30" s="28"/>
      <c r="E30" s="123"/>
      <c r="F30" s="99"/>
      <c r="G30" s="124">
        <v>24.0</v>
      </c>
      <c r="H30" s="125" t="b">
        <v>0</v>
      </c>
      <c r="I30" s="137"/>
      <c r="J30" s="127"/>
      <c r="K30" s="127"/>
      <c r="L30" s="127"/>
      <c r="M30" s="127"/>
      <c r="N30" s="127"/>
      <c r="O30" s="127"/>
      <c r="P30" s="128"/>
      <c r="Q30" s="138"/>
      <c r="R30" s="128"/>
      <c r="S30" s="139"/>
      <c r="T30" s="128"/>
      <c r="U30" s="131" t="str">
        <f t="shared" si="1"/>
        <v/>
      </c>
      <c r="V30" s="128"/>
      <c r="W30" s="99"/>
      <c r="X30" s="136"/>
      <c r="Y30" s="127"/>
      <c r="Z30" s="127"/>
      <c r="AA30" s="127"/>
      <c r="AB30" s="127"/>
      <c r="AC30" s="127"/>
      <c r="AD30" s="127"/>
      <c r="AE30" s="99"/>
    </row>
    <row r="31">
      <c r="A31" s="99"/>
      <c r="B31" s="140"/>
      <c r="C31" s="141"/>
      <c r="D31" s="141"/>
      <c r="E31" s="142"/>
      <c r="F31" s="99"/>
      <c r="G31" s="145">
        <v>25.0</v>
      </c>
      <c r="H31" s="125" t="b">
        <v>0</v>
      </c>
      <c r="I31" s="137"/>
      <c r="J31" s="127"/>
      <c r="K31" s="127"/>
      <c r="L31" s="127"/>
      <c r="M31" s="127"/>
      <c r="N31" s="127"/>
      <c r="O31" s="127"/>
      <c r="P31" s="128"/>
      <c r="Q31" s="138"/>
      <c r="R31" s="128"/>
      <c r="S31" s="139"/>
      <c r="T31" s="128"/>
      <c r="U31" s="131" t="str">
        <f t="shared" si="1"/>
        <v/>
      </c>
      <c r="V31" s="128"/>
      <c r="W31" s="99"/>
      <c r="X31" s="146"/>
      <c r="Y31" s="147"/>
      <c r="Z31" s="147"/>
      <c r="AA31" s="147"/>
      <c r="AB31" s="147"/>
      <c r="AC31" s="147"/>
      <c r="AD31" s="147"/>
      <c r="AE31" s="99"/>
    </row>
    <row r="32">
      <c r="A32" s="99"/>
      <c r="B32" s="99"/>
      <c r="C32" s="99"/>
      <c r="D32" s="99"/>
      <c r="E32" s="99"/>
      <c r="F32" s="99"/>
      <c r="G32" s="124">
        <v>26.0</v>
      </c>
      <c r="H32" s="125" t="b">
        <v>0</v>
      </c>
      <c r="I32" s="137"/>
      <c r="J32" s="127"/>
      <c r="K32" s="127"/>
      <c r="L32" s="127"/>
      <c r="M32" s="127"/>
      <c r="N32" s="127"/>
      <c r="O32" s="127"/>
      <c r="P32" s="128"/>
      <c r="Q32" s="138"/>
      <c r="R32" s="128"/>
      <c r="S32" s="139"/>
      <c r="T32" s="128"/>
      <c r="U32" s="131" t="str">
        <f t="shared" si="1"/>
        <v/>
      </c>
      <c r="V32" s="128"/>
      <c r="W32" s="99"/>
      <c r="X32" s="99"/>
      <c r="Y32" s="99"/>
      <c r="AE32" s="99"/>
    </row>
    <row r="33">
      <c r="A33" s="99"/>
      <c r="B33" s="99"/>
      <c r="C33" s="99"/>
      <c r="D33" s="99"/>
      <c r="E33" s="99"/>
      <c r="F33" s="99"/>
      <c r="G33" s="145">
        <v>27.0</v>
      </c>
      <c r="H33" s="125" t="b">
        <v>0</v>
      </c>
      <c r="I33" s="137"/>
      <c r="J33" s="127"/>
      <c r="K33" s="127"/>
      <c r="L33" s="127"/>
      <c r="M33" s="127"/>
      <c r="N33" s="127"/>
      <c r="O33" s="127"/>
      <c r="P33" s="128"/>
      <c r="Q33" s="138"/>
      <c r="R33" s="128"/>
      <c r="S33" s="139"/>
      <c r="T33" s="128"/>
      <c r="U33" s="131" t="str">
        <f t="shared" si="1"/>
        <v/>
      </c>
      <c r="V33" s="128"/>
      <c r="W33" s="99"/>
      <c r="X33" s="99"/>
      <c r="Y33" s="99"/>
      <c r="Z33" s="99"/>
      <c r="AA33" s="99"/>
      <c r="AB33" s="99"/>
      <c r="AC33" s="99"/>
      <c r="AD33" s="99"/>
      <c r="AE33" s="99"/>
    </row>
    <row r="34">
      <c r="A34" s="99"/>
      <c r="B34" s="99"/>
      <c r="C34" s="99"/>
      <c r="D34" s="99"/>
      <c r="E34" s="99"/>
      <c r="F34" s="99"/>
      <c r="G34" s="124">
        <v>28.0</v>
      </c>
      <c r="H34" s="125" t="b">
        <v>0</v>
      </c>
      <c r="I34" s="137"/>
      <c r="J34" s="127"/>
      <c r="K34" s="127"/>
      <c r="L34" s="127"/>
      <c r="M34" s="127"/>
      <c r="N34" s="127"/>
      <c r="O34" s="127"/>
      <c r="P34" s="128"/>
      <c r="Q34" s="138"/>
      <c r="R34" s="128"/>
      <c r="S34" s="139"/>
      <c r="T34" s="128"/>
      <c r="U34" s="131" t="str">
        <f t="shared" si="1"/>
        <v/>
      </c>
      <c r="V34" s="128"/>
      <c r="W34" s="99"/>
      <c r="X34" s="99"/>
      <c r="Y34" s="99"/>
      <c r="Z34" s="99"/>
      <c r="AA34" s="99"/>
      <c r="AB34" s="99"/>
      <c r="AC34" s="99"/>
      <c r="AD34" s="99"/>
      <c r="AE34" s="99"/>
    </row>
    <row r="35">
      <c r="A35" s="99"/>
      <c r="B35" s="99"/>
      <c r="C35" s="99"/>
      <c r="D35" s="99"/>
      <c r="E35" s="99"/>
      <c r="F35" s="99"/>
      <c r="G35" s="145">
        <v>29.0</v>
      </c>
      <c r="H35" s="125" t="b">
        <v>0</v>
      </c>
      <c r="I35" s="137"/>
      <c r="J35" s="127"/>
      <c r="K35" s="127"/>
      <c r="L35" s="127"/>
      <c r="M35" s="127"/>
      <c r="N35" s="127"/>
      <c r="O35" s="127"/>
      <c r="P35" s="128"/>
      <c r="Q35" s="138"/>
      <c r="R35" s="128"/>
      <c r="S35" s="139"/>
      <c r="T35" s="128"/>
      <c r="U35" s="131" t="str">
        <f t="shared" si="1"/>
        <v/>
      </c>
      <c r="V35" s="128"/>
      <c r="W35" s="99"/>
      <c r="X35" s="99"/>
      <c r="Y35" s="99"/>
      <c r="Z35" s="99"/>
      <c r="AA35" s="99"/>
      <c r="AB35" s="99"/>
      <c r="AC35" s="99"/>
      <c r="AD35" s="99"/>
      <c r="AE35" s="99"/>
    </row>
    <row r="36">
      <c r="A36" s="99"/>
      <c r="B36" s="99"/>
      <c r="C36" s="99"/>
      <c r="D36" s="99"/>
      <c r="E36" s="99"/>
      <c r="F36" s="99"/>
      <c r="G36" s="124">
        <v>30.0</v>
      </c>
      <c r="H36" s="125" t="b">
        <v>0</v>
      </c>
      <c r="I36" s="137"/>
      <c r="J36" s="127"/>
      <c r="K36" s="127"/>
      <c r="L36" s="127"/>
      <c r="M36" s="127"/>
      <c r="N36" s="127"/>
      <c r="O36" s="127"/>
      <c r="P36" s="128"/>
      <c r="Q36" s="138"/>
      <c r="R36" s="128"/>
      <c r="S36" s="139"/>
      <c r="T36" s="128"/>
      <c r="U36" s="131" t="str">
        <f t="shared" si="1"/>
        <v/>
      </c>
      <c r="V36" s="128"/>
      <c r="W36" s="99"/>
      <c r="X36" s="99"/>
      <c r="Y36" s="99"/>
      <c r="Z36" s="99"/>
      <c r="AA36" s="99"/>
      <c r="AB36" s="99"/>
      <c r="AC36" s="99"/>
      <c r="AD36" s="99"/>
      <c r="AE36" s="99"/>
    </row>
    <row r="37">
      <c r="A37" s="99"/>
      <c r="B37" s="99"/>
      <c r="C37" s="99"/>
      <c r="D37" s="99"/>
      <c r="E37" s="99"/>
      <c r="F37" s="99"/>
      <c r="G37" s="145">
        <v>31.0</v>
      </c>
      <c r="H37" s="125" t="b">
        <v>0</v>
      </c>
      <c r="I37" s="137"/>
      <c r="J37" s="127"/>
      <c r="K37" s="127"/>
      <c r="L37" s="127"/>
      <c r="M37" s="127"/>
      <c r="N37" s="127"/>
      <c r="O37" s="127"/>
      <c r="P37" s="128"/>
      <c r="Q37" s="138"/>
      <c r="R37" s="128"/>
      <c r="S37" s="139"/>
      <c r="T37" s="128"/>
      <c r="U37" s="131" t="str">
        <f t="shared" si="1"/>
        <v/>
      </c>
      <c r="V37" s="128"/>
      <c r="W37" s="99"/>
      <c r="X37" s="99"/>
      <c r="Y37" s="99"/>
      <c r="Z37" s="99"/>
      <c r="AA37" s="99"/>
      <c r="AB37" s="99"/>
      <c r="AC37" s="99"/>
      <c r="AD37" s="99"/>
      <c r="AE37" s="99"/>
    </row>
    <row r="38">
      <c r="A38" s="99"/>
      <c r="B38" s="99"/>
      <c r="C38" s="99"/>
      <c r="D38" s="99"/>
      <c r="E38" s="99"/>
      <c r="F38" s="99"/>
      <c r="G38" s="124">
        <v>32.0</v>
      </c>
      <c r="H38" s="125" t="b">
        <v>0</v>
      </c>
      <c r="I38" s="137"/>
      <c r="J38" s="127"/>
      <c r="K38" s="127"/>
      <c r="L38" s="127"/>
      <c r="M38" s="127"/>
      <c r="N38" s="127"/>
      <c r="O38" s="127"/>
      <c r="P38" s="128"/>
      <c r="Q38" s="138"/>
      <c r="R38" s="128"/>
      <c r="S38" s="139"/>
      <c r="T38" s="128"/>
      <c r="U38" s="131" t="str">
        <f t="shared" si="1"/>
        <v/>
      </c>
      <c r="V38" s="128"/>
      <c r="W38" s="99"/>
      <c r="X38" s="99"/>
      <c r="Y38" s="99"/>
      <c r="Z38" s="99"/>
      <c r="AA38" s="99"/>
      <c r="AB38" s="99"/>
      <c r="AC38" s="99"/>
      <c r="AD38" s="99"/>
      <c r="AE38" s="99"/>
    </row>
    <row r="39">
      <c r="A39" s="99"/>
      <c r="B39" s="99"/>
      <c r="C39" s="99"/>
      <c r="D39" s="99"/>
      <c r="E39" s="99"/>
      <c r="F39" s="99"/>
      <c r="G39" s="145">
        <v>33.0</v>
      </c>
      <c r="H39" s="125" t="b">
        <v>0</v>
      </c>
      <c r="I39" s="137"/>
      <c r="J39" s="127"/>
      <c r="K39" s="127"/>
      <c r="L39" s="127"/>
      <c r="M39" s="127"/>
      <c r="N39" s="127"/>
      <c r="O39" s="127"/>
      <c r="P39" s="128"/>
      <c r="Q39" s="138"/>
      <c r="R39" s="128"/>
      <c r="S39" s="139"/>
      <c r="T39" s="128"/>
      <c r="U39" s="131" t="str">
        <f t="shared" si="1"/>
        <v/>
      </c>
      <c r="V39" s="128"/>
      <c r="W39" s="99"/>
      <c r="X39" s="99"/>
      <c r="Y39" s="99"/>
      <c r="Z39" s="99"/>
      <c r="AA39" s="99"/>
      <c r="AB39" s="99"/>
      <c r="AC39" s="99"/>
      <c r="AD39" s="99"/>
      <c r="AE39" s="99"/>
    </row>
    <row r="40">
      <c r="A40" s="99"/>
      <c r="B40" s="99"/>
      <c r="C40" s="99"/>
      <c r="D40" s="99"/>
      <c r="E40" s="99"/>
      <c r="F40" s="99"/>
      <c r="G40" s="124">
        <v>34.0</v>
      </c>
      <c r="H40" s="125" t="b">
        <v>0</v>
      </c>
      <c r="I40" s="137"/>
      <c r="J40" s="127"/>
      <c r="K40" s="127"/>
      <c r="L40" s="127"/>
      <c r="M40" s="127"/>
      <c r="N40" s="127"/>
      <c r="O40" s="127"/>
      <c r="P40" s="128"/>
      <c r="Q40" s="138"/>
      <c r="R40" s="128"/>
      <c r="S40" s="139"/>
      <c r="T40" s="128"/>
      <c r="U40" s="131" t="str">
        <f t="shared" si="1"/>
        <v/>
      </c>
      <c r="V40" s="128"/>
      <c r="W40" s="99"/>
      <c r="X40" s="99"/>
      <c r="Y40" s="99"/>
      <c r="Z40" s="99"/>
      <c r="AA40" s="99"/>
      <c r="AB40" s="99"/>
      <c r="AC40" s="99"/>
      <c r="AD40" s="99"/>
      <c r="AE40" s="99"/>
    </row>
    <row r="41">
      <c r="A41" s="99"/>
      <c r="B41" s="99"/>
      <c r="C41" s="99"/>
      <c r="D41" s="99"/>
      <c r="E41" s="99"/>
      <c r="F41" s="99"/>
      <c r="G41" s="145">
        <v>35.0</v>
      </c>
      <c r="H41" s="125" t="b">
        <v>0</v>
      </c>
      <c r="I41" s="137"/>
      <c r="J41" s="127"/>
      <c r="K41" s="127"/>
      <c r="L41" s="127"/>
      <c r="M41" s="127"/>
      <c r="N41" s="127"/>
      <c r="O41" s="127"/>
      <c r="P41" s="128"/>
      <c r="Q41" s="138"/>
      <c r="R41" s="128"/>
      <c r="S41" s="139"/>
      <c r="T41" s="128"/>
      <c r="U41" s="131" t="str">
        <f t="shared" si="1"/>
        <v/>
      </c>
      <c r="V41" s="128"/>
      <c r="W41" s="99"/>
      <c r="X41" s="99"/>
      <c r="Y41" s="99"/>
      <c r="Z41" s="99"/>
      <c r="AA41" s="99"/>
      <c r="AB41" s="99"/>
      <c r="AC41" s="99"/>
      <c r="AD41" s="99"/>
      <c r="AE41" s="99"/>
    </row>
    <row r="42">
      <c r="A42" s="99"/>
      <c r="B42" s="99"/>
      <c r="C42" s="99"/>
      <c r="D42" s="99"/>
      <c r="E42" s="99"/>
      <c r="F42" s="99"/>
      <c r="G42" s="124">
        <v>36.0</v>
      </c>
      <c r="H42" s="125" t="b">
        <v>0</v>
      </c>
      <c r="I42" s="137"/>
      <c r="J42" s="127"/>
      <c r="K42" s="127"/>
      <c r="L42" s="127"/>
      <c r="M42" s="127"/>
      <c r="N42" s="127"/>
      <c r="O42" s="127"/>
      <c r="P42" s="128"/>
      <c r="Q42" s="138"/>
      <c r="R42" s="128"/>
      <c r="S42" s="139"/>
      <c r="T42" s="128"/>
      <c r="U42" s="131" t="str">
        <f t="shared" si="1"/>
        <v/>
      </c>
      <c r="V42" s="128"/>
      <c r="W42" s="99"/>
      <c r="X42" s="99"/>
      <c r="Y42" s="99"/>
      <c r="Z42" s="99"/>
      <c r="AA42" s="99"/>
      <c r="AB42" s="99"/>
      <c r="AC42" s="99"/>
      <c r="AD42" s="99"/>
      <c r="AE42" s="99"/>
    </row>
    <row r="43">
      <c r="A43" s="99"/>
      <c r="B43" s="99"/>
      <c r="C43" s="99"/>
      <c r="D43" s="99"/>
      <c r="E43" s="99"/>
      <c r="F43" s="99"/>
      <c r="G43" s="145">
        <v>37.0</v>
      </c>
      <c r="H43" s="125" t="b">
        <v>0</v>
      </c>
      <c r="I43" s="137"/>
      <c r="J43" s="127"/>
      <c r="K43" s="127"/>
      <c r="L43" s="127"/>
      <c r="M43" s="127"/>
      <c r="N43" s="127"/>
      <c r="O43" s="127"/>
      <c r="P43" s="128"/>
      <c r="Q43" s="138"/>
      <c r="R43" s="128"/>
      <c r="S43" s="139"/>
      <c r="T43" s="128"/>
      <c r="U43" s="131" t="str">
        <f t="shared" si="1"/>
        <v/>
      </c>
      <c r="V43" s="128"/>
      <c r="W43" s="99"/>
      <c r="X43" s="99"/>
      <c r="Y43" s="99"/>
      <c r="Z43" s="99"/>
      <c r="AA43" s="99"/>
      <c r="AB43" s="99"/>
      <c r="AC43" s="99"/>
      <c r="AD43" s="99"/>
      <c r="AE43" s="99"/>
    </row>
    <row r="44">
      <c r="A44" s="99"/>
      <c r="B44" s="99"/>
      <c r="C44" s="99"/>
      <c r="D44" s="99"/>
      <c r="E44" s="99"/>
      <c r="F44" s="99"/>
      <c r="G44" s="124">
        <v>38.0</v>
      </c>
      <c r="H44" s="125" t="b">
        <v>0</v>
      </c>
      <c r="I44" s="137"/>
      <c r="J44" s="127"/>
      <c r="K44" s="127"/>
      <c r="L44" s="127"/>
      <c r="M44" s="127"/>
      <c r="N44" s="127"/>
      <c r="O44" s="127"/>
      <c r="P44" s="128"/>
      <c r="Q44" s="138"/>
      <c r="R44" s="128"/>
      <c r="S44" s="139"/>
      <c r="T44" s="128"/>
      <c r="U44" s="131" t="str">
        <f t="shared" si="1"/>
        <v/>
      </c>
      <c r="V44" s="128"/>
      <c r="W44" s="99"/>
      <c r="X44" s="99"/>
      <c r="Y44" s="99"/>
      <c r="Z44" s="99"/>
      <c r="AA44" s="99"/>
      <c r="AB44" s="99"/>
      <c r="AC44" s="99"/>
      <c r="AD44" s="99"/>
      <c r="AE44" s="99"/>
    </row>
    <row r="45">
      <c r="A45" s="99"/>
      <c r="B45" s="99"/>
      <c r="C45" s="99"/>
      <c r="D45" s="99"/>
      <c r="E45" s="99"/>
      <c r="F45" s="99"/>
      <c r="G45" s="145">
        <v>39.0</v>
      </c>
      <c r="H45" s="125" t="b">
        <v>0</v>
      </c>
      <c r="I45" s="137"/>
      <c r="J45" s="127"/>
      <c r="K45" s="127"/>
      <c r="L45" s="127"/>
      <c r="M45" s="127"/>
      <c r="N45" s="127"/>
      <c r="O45" s="127"/>
      <c r="P45" s="128"/>
      <c r="Q45" s="138"/>
      <c r="R45" s="128"/>
      <c r="S45" s="139"/>
      <c r="T45" s="128"/>
      <c r="U45" s="131" t="str">
        <f t="shared" si="1"/>
        <v/>
      </c>
      <c r="V45" s="128"/>
      <c r="W45" s="99"/>
      <c r="X45" s="99"/>
      <c r="Y45" s="99"/>
      <c r="Z45" s="99"/>
      <c r="AA45" s="99"/>
      <c r="AB45" s="99"/>
      <c r="AC45" s="99"/>
      <c r="AD45" s="99"/>
      <c r="AE45" s="99"/>
    </row>
    <row r="46">
      <c r="A46" s="99"/>
      <c r="B46" s="99"/>
      <c r="C46" s="99"/>
      <c r="D46" s="99"/>
      <c r="E46" s="99"/>
      <c r="F46" s="99"/>
      <c r="G46" s="124">
        <v>40.0</v>
      </c>
      <c r="H46" s="125" t="b">
        <v>0</v>
      </c>
      <c r="I46" s="137"/>
      <c r="J46" s="127"/>
      <c r="K46" s="127"/>
      <c r="L46" s="127"/>
      <c r="M46" s="127"/>
      <c r="N46" s="127"/>
      <c r="O46" s="127"/>
      <c r="P46" s="128"/>
      <c r="Q46" s="138"/>
      <c r="R46" s="128"/>
      <c r="S46" s="139"/>
      <c r="T46" s="128"/>
      <c r="U46" s="131" t="str">
        <f t="shared" si="1"/>
        <v/>
      </c>
      <c r="V46" s="128"/>
      <c r="W46" s="99"/>
      <c r="X46" s="99"/>
      <c r="Y46" s="99"/>
      <c r="Z46" s="99"/>
      <c r="AA46" s="99"/>
      <c r="AB46" s="99"/>
      <c r="AC46" s="99"/>
      <c r="AD46" s="99"/>
      <c r="AE46" s="99"/>
    </row>
    <row r="47">
      <c r="A47" s="99"/>
      <c r="B47" s="99"/>
      <c r="C47" s="99"/>
      <c r="D47" s="99"/>
      <c r="E47" s="99"/>
      <c r="F47" s="99"/>
      <c r="G47" s="145">
        <v>41.0</v>
      </c>
      <c r="H47" s="125" t="b">
        <v>0</v>
      </c>
      <c r="I47" s="137"/>
      <c r="J47" s="127"/>
      <c r="K47" s="127"/>
      <c r="L47" s="127"/>
      <c r="M47" s="127"/>
      <c r="N47" s="127"/>
      <c r="O47" s="127"/>
      <c r="P47" s="128"/>
      <c r="Q47" s="138"/>
      <c r="R47" s="128"/>
      <c r="S47" s="139"/>
      <c r="T47" s="128"/>
      <c r="U47" s="131" t="str">
        <f t="shared" si="1"/>
        <v/>
      </c>
      <c r="V47" s="128"/>
      <c r="W47" s="99"/>
      <c r="X47" s="99"/>
      <c r="Y47" s="99"/>
      <c r="Z47" s="99"/>
      <c r="AA47" s="99"/>
      <c r="AB47" s="99"/>
      <c r="AC47" s="99"/>
      <c r="AD47" s="99"/>
      <c r="AE47" s="99"/>
    </row>
    <row r="48">
      <c r="A48" s="99"/>
      <c r="B48" s="99"/>
      <c r="C48" s="99"/>
      <c r="D48" s="99"/>
      <c r="E48" s="99"/>
      <c r="F48" s="99"/>
      <c r="G48" s="124">
        <v>42.0</v>
      </c>
      <c r="H48" s="125" t="b">
        <v>0</v>
      </c>
      <c r="I48" s="137"/>
      <c r="J48" s="127"/>
      <c r="K48" s="127"/>
      <c r="L48" s="127"/>
      <c r="M48" s="127"/>
      <c r="N48" s="127"/>
      <c r="O48" s="127"/>
      <c r="P48" s="128"/>
      <c r="Q48" s="138"/>
      <c r="R48" s="128"/>
      <c r="S48" s="139"/>
      <c r="T48" s="128"/>
      <c r="U48" s="131" t="str">
        <f t="shared" si="1"/>
        <v/>
      </c>
      <c r="V48" s="128"/>
      <c r="W48" s="99"/>
      <c r="X48" s="99"/>
      <c r="Y48" s="99"/>
      <c r="Z48" s="99"/>
      <c r="AA48" s="99"/>
      <c r="AB48" s="99"/>
      <c r="AC48" s="99"/>
      <c r="AD48" s="99"/>
      <c r="AE48" s="99"/>
    </row>
    <row r="49">
      <c r="A49" s="99"/>
      <c r="B49" s="99"/>
      <c r="C49" s="99"/>
      <c r="D49" s="99"/>
      <c r="E49" s="99"/>
      <c r="F49" s="99"/>
      <c r="G49" s="145">
        <v>43.0</v>
      </c>
      <c r="H49" s="125" t="b">
        <v>0</v>
      </c>
      <c r="I49" s="137"/>
      <c r="J49" s="127"/>
      <c r="K49" s="127"/>
      <c r="L49" s="127"/>
      <c r="M49" s="127"/>
      <c r="N49" s="127"/>
      <c r="O49" s="127"/>
      <c r="P49" s="128"/>
      <c r="Q49" s="138"/>
      <c r="R49" s="128"/>
      <c r="S49" s="139"/>
      <c r="T49" s="128"/>
      <c r="U49" s="131" t="str">
        <f t="shared" si="1"/>
        <v/>
      </c>
      <c r="V49" s="128"/>
      <c r="W49" s="99"/>
      <c r="X49" s="99"/>
      <c r="Y49" s="99"/>
      <c r="Z49" s="99"/>
      <c r="AA49" s="99"/>
      <c r="AB49" s="99"/>
      <c r="AC49" s="99"/>
      <c r="AD49" s="99"/>
      <c r="AE49" s="99"/>
    </row>
    <row r="50">
      <c r="A50" s="99"/>
      <c r="B50" s="99"/>
      <c r="C50" s="99"/>
      <c r="D50" s="99"/>
      <c r="E50" s="99"/>
      <c r="F50" s="99"/>
      <c r="G50" s="124">
        <v>44.0</v>
      </c>
      <c r="H50" s="125" t="b">
        <v>0</v>
      </c>
      <c r="I50" s="137"/>
      <c r="J50" s="127"/>
      <c r="K50" s="127"/>
      <c r="L50" s="127"/>
      <c r="M50" s="127"/>
      <c r="N50" s="127"/>
      <c r="O50" s="127"/>
      <c r="P50" s="128"/>
      <c r="Q50" s="138"/>
      <c r="R50" s="128"/>
      <c r="S50" s="139"/>
      <c r="T50" s="128"/>
      <c r="U50" s="131" t="str">
        <f t="shared" si="1"/>
        <v/>
      </c>
      <c r="V50" s="128"/>
      <c r="W50" s="99"/>
      <c r="X50" s="99"/>
      <c r="Y50" s="99"/>
      <c r="Z50" s="99"/>
      <c r="AA50" s="99"/>
      <c r="AB50" s="99"/>
      <c r="AC50" s="99"/>
      <c r="AD50" s="99"/>
      <c r="AE50" s="99"/>
    </row>
    <row r="51">
      <c r="A51" s="99"/>
      <c r="B51" s="99"/>
      <c r="C51" s="99"/>
      <c r="D51" s="99"/>
      <c r="E51" s="99"/>
      <c r="F51" s="99"/>
      <c r="G51" s="145">
        <v>45.0</v>
      </c>
      <c r="H51" s="125" t="b">
        <v>0</v>
      </c>
      <c r="I51" s="137"/>
      <c r="J51" s="127"/>
      <c r="K51" s="127"/>
      <c r="L51" s="127"/>
      <c r="M51" s="127"/>
      <c r="N51" s="127"/>
      <c r="O51" s="127"/>
      <c r="P51" s="128"/>
      <c r="Q51" s="138"/>
      <c r="R51" s="128"/>
      <c r="S51" s="139"/>
      <c r="T51" s="128"/>
      <c r="U51" s="131" t="str">
        <f t="shared" si="1"/>
        <v/>
      </c>
      <c r="V51" s="128"/>
      <c r="W51" s="99"/>
      <c r="X51" s="99"/>
      <c r="Y51" s="99"/>
      <c r="Z51" s="99"/>
      <c r="AA51" s="99"/>
      <c r="AB51" s="99"/>
      <c r="AC51" s="99"/>
      <c r="AD51" s="99"/>
      <c r="AE51" s="99"/>
    </row>
    <row r="52">
      <c r="A52" s="99"/>
      <c r="B52" s="99"/>
      <c r="C52" s="99"/>
      <c r="D52" s="99"/>
      <c r="E52" s="99"/>
      <c r="F52" s="99"/>
      <c r="G52" s="124">
        <v>46.0</v>
      </c>
      <c r="H52" s="125" t="b">
        <v>0</v>
      </c>
      <c r="I52" s="137"/>
      <c r="J52" s="127"/>
      <c r="K52" s="127"/>
      <c r="L52" s="127"/>
      <c r="M52" s="127"/>
      <c r="N52" s="127"/>
      <c r="O52" s="127"/>
      <c r="P52" s="128"/>
      <c r="Q52" s="138"/>
      <c r="R52" s="128"/>
      <c r="S52" s="139"/>
      <c r="T52" s="128"/>
      <c r="U52" s="131" t="str">
        <f t="shared" si="1"/>
        <v/>
      </c>
      <c r="V52" s="128"/>
      <c r="W52" s="99"/>
      <c r="X52" s="99"/>
      <c r="Y52" s="99"/>
      <c r="Z52" s="99"/>
      <c r="AA52" s="99"/>
      <c r="AB52" s="99"/>
      <c r="AC52" s="99"/>
      <c r="AD52" s="99"/>
      <c r="AE52" s="99"/>
    </row>
    <row r="53">
      <c r="A53" s="99"/>
      <c r="B53" s="99"/>
      <c r="C53" s="99"/>
      <c r="D53" s="99"/>
      <c r="E53" s="99"/>
      <c r="F53" s="99"/>
      <c r="G53" s="145">
        <v>47.0</v>
      </c>
      <c r="H53" s="125" t="b">
        <v>0</v>
      </c>
      <c r="I53" s="137"/>
      <c r="J53" s="127"/>
      <c r="K53" s="127"/>
      <c r="L53" s="127"/>
      <c r="M53" s="127"/>
      <c r="N53" s="127"/>
      <c r="O53" s="127"/>
      <c r="P53" s="128"/>
      <c r="Q53" s="138"/>
      <c r="R53" s="128"/>
      <c r="S53" s="139"/>
      <c r="T53" s="128"/>
      <c r="U53" s="131" t="str">
        <f t="shared" si="1"/>
        <v/>
      </c>
      <c r="V53" s="128"/>
      <c r="W53" s="99"/>
      <c r="X53" s="99"/>
      <c r="Y53" s="99"/>
      <c r="Z53" s="99"/>
      <c r="AA53" s="99"/>
      <c r="AB53" s="99"/>
      <c r="AC53" s="99"/>
      <c r="AD53" s="99"/>
      <c r="AE53" s="99"/>
    </row>
    <row r="54">
      <c r="A54" s="99"/>
      <c r="B54" s="99"/>
      <c r="C54" s="99"/>
      <c r="D54" s="99"/>
      <c r="E54" s="99"/>
      <c r="F54" s="99"/>
      <c r="G54" s="124">
        <v>48.0</v>
      </c>
      <c r="H54" s="125" t="b">
        <v>0</v>
      </c>
      <c r="I54" s="137"/>
      <c r="J54" s="127"/>
      <c r="K54" s="127"/>
      <c r="L54" s="127"/>
      <c r="M54" s="127"/>
      <c r="N54" s="127"/>
      <c r="O54" s="127"/>
      <c r="P54" s="128"/>
      <c r="Q54" s="138"/>
      <c r="R54" s="128"/>
      <c r="S54" s="139"/>
      <c r="T54" s="128"/>
      <c r="U54" s="131" t="str">
        <f t="shared" si="1"/>
        <v/>
      </c>
      <c r="V54" s="128"/>
      <c r="W54" s="99"/>
      <c r="X54" s="99"/>
      <c r="Y54" s="99"/>
      <c r="Z54" s="99"/>
      <c r="AA54" s="99"/>
      <c r="AB54" s="99"/>
      <c r="AC54" s="99"/>
      <c r="AD54" s="99"/>
      <c r="AE54" s="99"/>
    </row>
    <row r="55">
      <c r="A55" s="99"/>
      <c r="B55" s="99"/>
      <c r="C55" s="99"/>
      <c r="D55" s="99"/>
      <c r="E55" s="99"/>
      <c r="F55" s="99"/>
      <c r="G55" s="145">
        <v>49.0</v>
      </c>
      <c r="H55" s="125" t="b">
        <v>0</v>
      </c>
      <c r="I55" s="137"/>
      <c r="J55" s="127"/>
      <c r="K55" s="127"/>
      <c r="L55" s="127"/>
      <c r="M55" s="127"/>
      <c r="N55" s="127"/>
      <c r="O55" s="127"/>
      <c r="P55" s="128"/>
      <c r="Q55" s="138"/>
      <c r="R55" s="128"/>
      <c r="S55" s="139"/>
      <c r="T55" s="128"/>
      <c r="U55" s="131" t="str">
        <f t="shared" si="1"/>
        <v/>
      </c>
      <c r="V55" s="128"/>
      <c r="W55" s="99"/>
      <c r="X55" s="99"/>
      <c r="Y55" s="99"/>
      <c r="Z55" s="99"/>
      <c r="AA55" s="99"/>
      <c r="AB55" s="99"/>
      <c r="AC55" s="99"/>
      <c r="AD55" s="99"/>
      <c r="AE55" s="99"/>
    </row>
    <row r="56">
      <c r="A56" s="99"/>
      <c r="B56" s="99"/>
      <c r="C56" s="99"/>
      <c r="D56" s="99"/>
      <c r="E56" s="99"/>
      <c r="F56" s="99"/>
      <c r="G56" s="145">
        <v>50.0</v>
      </c>
      <c r="H56" s="148" t="b">
        <v>0</v>
      </c>
      <c r="I56" s="149"/>
      <c r="J56" s="150"/>
      <c r="K56" s="150"/>
      <c r="L56" s="150"/>
      <c r="M56" s="150"/>
      <c r="N56" s="150"/>
      <c r="O56" s="150"/>
      <c r="P56" s="151"/>
      <c r="Q56" s="152"/>
      <c r="R56" s="151"/>
      <c r="S56" s="153"/>
      <c r="T56" s="151"/>
      <c r="U56" s="154" t="str">
        <f t="shared" si="1"/>
        <v/>
      </c>
      <c r="V56" s="151"/>
      <c r="W56" s="99"/>
      <c r="X56" s="99"/>
      <c r="Y56" s="99"/>
      <c r="Z56" s="99"/>
      <c r="AA56" s="99"/>
      <c r="AB56" s="99"/>
      <c r="AC56" s="99"/>
      <c r="AD56" s="99"/>
      <c r="AE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</row>
  </sheetData>
  <mergeCells count="253">
    <mergeCell ref="I39:P39"/>
    <mergeCell ref="Q39:R39"/>
    <mergeCell ref="S39:T39"/>
    <mergeCell ref="U39:V39"/>
    <mergeCell ref="Q40:R40"/>
    <mergeCell ref="S40:T40"/>
    <mergeCell ref="U40:V40"/>
    <mergeCell ref="I40:P40"/>
    <mergeCell ref="I41:P41"/>
    <mergeCell ref="Q41:R41"/>
    <mergeCell ref="S41:T41"/>
    <mergeCell ref="U41:V41"/>
    <mergeCell ref="I42:P42"/>
    <mergeCell ref="Q42:R42"/>
    <mergeCell ref="Q44:R44"/>
    <mergeCell ref="S44:T44"/>
    <mergeCell ref="S42:T42"/>
    <mergeCell ref="U42:V42"/>
    <mergeCell ref="I43:P43"/>
    <mergeCell ref="Q43:R43"/>
    <mergeCell ref="S43:T43"/>
    <mergeCell ref="U43:V43"/>
    <mergeCell ref="U44:V44"/>
    <mergeCell ref="S46:T46"/>
    <mergeCell ref="U46:V46"/>
    <mergeCell ref="I44:P44"/>
    <mergeCell ref="I45:P45"/>
    <mergeCell ref="Q45:R45"/>
    <mergeCell ref="S45:T45"/>
    <mergeCell ref="U45:V45"/>
    <mergeCell ref="I46:P46"/>
    <mergeCell ref="Q46:R46"/>
    <mergeCell ref="I47:P47"/>
    <mergeCell ref="Q47:R47"/>
    <mergeCell ref="S47:T47"/>
    <mergeCell ref="U47:V47"/>
    <mergeCell ref="Q48:R48"/>
    <mergeCell ref="S48:T48"/>
    <mergeCell ref="U48:V48"/>
    <mergeCell ref="I48:P48"/>
    <mergeCell ref="I49:P49"/>
    <mergeCell ref="Q49:R49"/>
    <mergeCell ref="S49:T49"/>
    <mergeCell ref="U49:V49"/>
    <mergeCell ref="I50:P50"/>
    <mergeCell ref="Q50:R50"/>
    <mergeCell ref="Q52:R52"/>
    <mergeCell ref="S52:T52"/>
    <mergeCell ref="S50:T50"/>
    <mergeCell ref="U50:V50"/>
    <mergeCell ref="I51:P51"/>
    <mergeCell ref="Q51:R51"/>
    <mergeCell ref="S51:T51"/>
    <mergeCell ref="U51:V51"/>
    <mergeCell ref="U52:V52"/>
    <mergeCell ref="S54:T54"/>
    <mergeCell ref="U54:V54"/>
    <mergeCell ref="I52:P52"/>
    <mergeCell ref="I53:P53"/>
    <mergeCell ref="Q53:R53"/>
    <mergeCell ref="S53:T53"/>
    <mergeCell ref="U53:V53"/>
    <mergeCell ref="I54:P54"/>
    <mergeCell ref="Q54:R54"/>
    <mergeCell ref="S29:T29"/>
    <mergeCell ref="U29:V29"/>
    <mergeCell ref="I27:P27"/>
    <mergeCell ref="I28:P28"/>
    <mergeCell ref="Q28:R28"/>
    <mergeCell ref="S28:T28"/>
    <mergeCell ref="U28:V28"/>
    <mergeCell ref="I29:P29"/>
    <mergeCell ref="Q29:R29"/>
    <mergeCell ref="I31:P31"/>
    <mergeCell ref="Q31:R31"/>
    <mergeCell ref="S31:T31"/>
    <mergeCell ref="U31:V31"/>
    <mergeCell ref="Q32:R32"/>
    <mergeCell ref="S32:T32"/>
    <mergeCell ref="U32:V32"/>
    <mergeCell ref="S34:T34"/>
    <mergeCell ref="U34:V34"/>
    <mergeCell ref="I32:P32"/>
    <mergeCell ref="I33:P33"/>
    <mergeCell ref="Q33:R33"/>
    <mergeCell ref="S33:T33"/>
    <mergeCell ref="U33:V33"/>
    <mergeCell ref="I34:P34"/>
    <mergeCell ref="Q34:R34"/>
    <mergeCell ref="S38:T38"/>
    <mergeCell ref="U38:V38"/>
    <mergeCell ref="I56:P56"/>
    <mergeCell ref="I57:P57"/>
    <mergeCell ref="I55:P55"/>
    <mergeCell ref="Q55:R55"/>
    <mergeCell ref="S55:T55"/>
    <mergeCell ref="U55:V55"/>
    <mergeCell ref="Q56:R56"/>
    <mergeCell ref="S56:T56"/>
    <mergeCell ref="U56:V56"/>
    <mergeCell ref="I9:P9"/>
    <mergeCell ref="Q9:R9"/>
    <mergeCell ref="S9:T9"/>
    <mergeCell ref="U9:V9"/>
    <mergeCell ref="X9:AD9"/>
    <mergeCell ref="Q10:R10"/>
    <mergeCell ref="X10:AD10"/>
    <mergeCell ref="X11:AD11"/>
    <mergeCell ref="X12:AD12"/>
    <mergeCell ref="X13:AD13"/>
    <mergeCell ref="I13:P13"/>
    <mergeCell ref="Q13:R13"/>
    <mergeCell ref="S13:T13"/>
    <mergeCell ref="U13:V13"/>
    <mergeCell ref="I10:P10"/>
    <mergeCell ref="I11:P11"/>
    <mergeCell ref="Q11:R11"/>
    <mergeCell ref="S11:T11"/>
    <mergeCell ref="U11:V11"/>
    <mergeCell ref="I12:P12"/>
    <mergeCell ref="U12:V12"/>
    <mergeCell ref="Q5:R6"/>
    <mergeCell ref="S5:T6"/>
    <mergeCell ref="X5:AD6"/>
    <mergeCell ref="X7:AD7"/>
    <mergeCell ref="B2:E3"/>
    <mergeCell ref="G2:G3"/>
    <mergeCell ref="H2:V3"/>
    <mergeCell ref="B4:E5"/>
    <mergeCell ref="G5:G6"/>
    <mergeCell ref="H5:H6"/>
    <mergeCell ref="U5:V6"/>
    <mergeCell ref="Q8:R8"/>
    <mergeCell ref="S8:T8"/>
    <mergeCell ref="X8:AD8"/>
    <mergeCell ref="C8:D8"/>
    <mergeCell ref="C9:D9"/>
    <mergeCell ref="C11:D11"/>
    <mergeCell ref="C12:D12"/>
    <mergeCell ref="C14:D14"/>
    <mergeCell ref="C15:D15"/>
    <mergeCell ref="I5:P6"/>
    <mergeCell ref="I7:P7"/>
    <mergeCell ref="Q7:R7"/>
    <mergeCell ref="S7:T7"/>
    <mergeCell ref="U7:V7"/>
    <mergeCell ref="I8:P8"/>
    <mergeCell ref="U8:V8"/>
    <mergeCell ref="S10:T10"/>
    <mergeCell ref="U10:V10"/>
    <mergeCell ref="Q12:R12"/>
    <mergeCell ref="S12:T12"/>
    <mergeCell ref="I14:P14"/>
    <mergeCell ref="Q14:R14"/>
    <mergeCell ref="S14:T14"/>
    <mergeCell ref="U14:V14"/>
    <mergeCell ref="X14:AD14"/>
    <mergeCell ref="Q21:R21"/>
    <mergeCell ref="S21:T21"/>
    <mergeCell ref="I19:P19"/>
    <mergeCell ref="I20:P20"/>
    <mergeCell ref="Q20:R20"/>
    <mergeCell ref="S20:T20"/>
    <mergeCell ref="U20:V20"/>
    <mergeCell ref="I21:P21"/>
    <mergeCell ref="U21:V21"/>
    <mergeCell ref="I22:P22"/>
    <mergeCell ref="Q22:R22"/>
    <mergeCell ref="S22:T22"/>
    <mergeCell ref="U22:V22"/>
    <mergeCell ref="Q23:R23"/>
    <mergeCell ref="S23:T23"/>
    <mergeCell ref="U23:V23"/>
    <mergeCell ref="I23:P23"/>
    <mergeCell ref="I24:P24"/>
    <mergeCell ref="Q24:R24"/>
    <mergeCell ref="S24:T24"/>
    <mergeCell ref="U24:V24"/>
    <mergeCell ref="I25:P25"/>
    <mergeCell ref="Q25:R25"/>
    <mergeCell ref="Q27:R27"/>
    <mergeCell ref="S27:T27"/>
    <mergeCell ref="S25:T25"/>
    <mergeCell ref="U25:V25"/>
    <mergeCell ref="I26:P26"/>
    <mergeCell ref="Q26:R26"/>
    <mergeCell ref="S26:T26"/>
    <mergeCell ref="U26:V26"/>
    <mergeCell ref="U27:V27"/>
    <mergeCell ref="I15:P15"/>
    <mergeCell ref="Q15:R15"/>
    <mergeCell ref="S15:T15"/>
    <mergeCell ref="U15:V15"/>
    <mergeCell ref="X15:AD15"/>
    <mergeCell ref="I16:P16"/>
    <mergeCell ref="Q16:R16"/>
    <mergeCell ref="X16:AD16"/>
    <mergeCell ref="S16:T16"/>
    <mergeCell ref="U16:V16"/>
    <mergeCell ref="I17:P17"/>
    <mergeCell ref="Q17:R17"/>
    <mergeCell ref="S17:T17"/>
    <mergeCell ref="U17:V17"/>
    <mergeCell ref="X17:AD17"/>
    <mergeCell ref="S19:T19"/>
    <mergeCell ref="U19:V19"/>
    <mergeCell ref="I18:P18"/>
    <mergeCell ref="Q18:R18"/>
    <mergeCell ref="S18:T18"/>
    <mergeCell ref="U18:V18"/>
    <mergeCell ref="X18:AD18"/>
    <mergeCell ref="Q19:R19"/>
    <mergeCell ref="X19:AD19"/>
    <mergeCell ref="X27:AD27"/>
    <mergeCell ref="X28:AD28"/>
    <mergeCell ref="X29:AD29"/>
    <mergeCell ref="X30:AD30"/>
    <mergeCell ref="X31:AD31"/>
    <mergeCell ref="Y32:AD32"/>
    <mergeCell ref="X20:AD20"/>
    <mergeCell ref="X21:AD21"/>
    <mergeCell ref="X22:AD22"/>
    <mergeCell ref="X23:AD23"/>
    <mergeCell ref="X24:AD24"/>
    <mergeCell ref="X25:AD25"/>
    <mergeCell ref="X26:AD26"/>
    <mergeCell ref="C29:D29"/>
    <mergeCell ref="C30:D30"/>
    <mergeCell ref="I30:P30"/>
    <mergeCell ref="Q30:R30"/>
    <mergeCell ref="S30:T30"/>
    <mergeCell ref="U30:V30"/>
    <mergeCell ref="C17:D17"/>
    <mergeCell ref="C18:D18"/>
    <mergeCell ref="B21:E21"/>
    <mergeCell ref="C23:D23"/>
    <mergeCell ref="C24:D24"/>
    <mergeCell ref="C26:D26"/>
    <mergeCell ref="C27:D27"/>
    <mergeCell ref="I35:P35"/>
    <mergeCell ref="Q35:R35"/>
    <mergeCell ref="S35:T35"/>
    <mergeCell ref="U35:V35"/>
    <mergeCell ref="Q36:R36"/>
    <mergeCell ref="S36:T36"/>
    <mergeCell ref="U36:V36"/>
    <mergeCell ref="I36:P36"/>
    <mergeCell ref="I37:P37"/>
    <mergeCell ref="Q37:R37"/>
    <mergeCell ref="S37:T37"/>
    <mergeCell ref="U37:V37"/>
    <mergeCell ref="I38:P38"/>
    <mergeCell ref="Q38:R38"/>
  </mergeCells>
  <conditionalFormatting sqref="U7:V56">
    <cfRule type="cellIs" dxfId="1" priority="1" operator="between">
      <formula>1</formula>
      <formula>3</formula>
    </cfRule>
  </conditionalFormatting>
  <conditionalFormatting sqref="I7:V56">
    <cfRule type="expression" dxfId="2" priority="2">
      <formula>$H7</formula>
    </cfRule>
  </conditionalFormatting>
  <conditionalFormatting sqref="Q7:R56">
    <cfRule type="expression" dxfId="3" priority="3">
      <formula>AND(ISNUMBER(Q7),TRUNC(Q7)&lt;TODAY())</formula>
    </cfRule>
  </conditionalFormatting>
  <conditionalFormatting sqref="Q7:R56">
    <cfRule type="timePeriod" dxfId="0" priority="4" timePeriod="today"/>
  </conditionalFormatting>
  <dataValidations>
    <dataValidation type="custom" allowBlank="1" showDropDown="1" showInputMessage="1" showErrorMessage="1" prompt="Enter a valid date" sqref="Q7:Q56">
      <formula1>OR(NOT(ISERROR(DATEVALUE(Q7))), AND(ISNUMBER(Q7), LEFT(CELL("format", Q7))="D"))</formula1>
    </dataValidation>
    <dataValidation type="list" allowBlank="1" showErrorMessage="1" sqref="S7:S56">
      <formula1>"Утро,Полдень,Вечер,12:00 AM,1:00 AM,2:00 AM,3:00 AM,4:00 AM,5:00 AM,6:00 AM,7:00 AM,8:00 AM,9:00 AM,10:00 AM,11:00 AM,12:00 PM,1:00 PM,2:00 PM,3:00 PM,4:00 PM,5:00 PM,6:00 PM,7:00 PM,8:00 PM,9:00 PM,10:00 PM,11:00 PM"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7" width="4.25"/>
  </cols>
  <sheetData>
    <row r="1" ht="21.0" customHeight="1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</row>
    <row r="2" ht="21.0" customHeight="1">
      <c r="A2" s="155"/>
      <c r="B2" s="156"/>
      <c r="Q2" s="157"/>
    </row>
    <row r="3" ht="21.0" customHeight="1">
      <c r="A3" s="155"/>
      <c r="Q3" s="157"/>
    </row>
    <row r="4" ht="21.0" customHeight="1">
      <c r="A4" s="155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5"/>
    </row>
    <row r="5" ht="21.0" customHeight="1">
      <c r="A5" s="155"/>
      <c r="B5" s="158" t="s">
        <v>48</v>
      </c>
      <c r="Q5" s="159"/>
    </row>
    <row r="6" ht="21.0" customHeight="1">
      <c r="A6" s="155"/>
      <c r="Q6" s="155"/>
    </row>
    <row r="7" ht="21.0" customHeight="1">
      <c r="A7" s="155"/>
      <c r="Q7" s="155"/>
    </row>
    <row r="8" ht="21.0" customHeight="1">
      <c r="A8" s="155"/>
      <c r="Q8" s="155"/>
    </row>
    <row r="9" ht="21.0" customHeight="1">
      <c r="A9" s="155"/>
      <c r="Q9" s="155"/>
    </row>
    <row r="10" ht="21.0" customHeight="1">
      <c r="A10" s="155"/>
      <c r="Q10" s="155"/>
    </row>
    <row r="11" ht="21.0" customHeight="1">
      <c r="A11" s="155"/>
      <c r="Q11" s="155"/>
    </row>
    <row r="12" ht="21.0" customHeight="1">
      <c r="A12" s="155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</sheetData>
  <mergeCells count="2">
    <mergeCell ref="B2:P3"/>
    <mergeCell ref="B5:P11"/>
  </mergeCells>
  <drawing r:id="rId1"/>
</worksheet>
</file>